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 Tracker" sheetId="1" state="visible" r:id="rId3"/>
    <sheet name="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Format example only. Numbers are made up to show the expected format.</t>
        </r>
      </text>
    </comment>
  </commentList>
</comments>
</file>

<file path=xl/sharedStrings.xml><?xml version="1.0" encoding="utf-8"?>
<sst xmlns="http://schemas.openxmlformats.org/spreadsheetml/2006/main" count="99" uniqueCount="89">
  <si>
    <t xml:space="preserve">PawPixel — candidate video tracker</t>
  </si>
  <si>
    <t xml:space="preserve">Legend: fill one row per candidate from row 6 down (yellow cells are yours to edit). Row 5 is a FORMAT EXAMPLE ONLY — its numbers are illustrative, not a real video; delete it once you log real ones. Auto-flag fills itself from the gate and fit checks. Copy only rows marked 'Use' into the master sheet.</t>
  </si>
  <si>
    <t xml:space="preserve">Handle</t>
  </si>
  <si>
    <t xml:space="preserve">Platform</t>
  </si>
  <si>
    <t xml:space="preserve">Followers</t>
  </si>
  <si>
    <t xml:space="preserve">Views</t>
  </si>
  <si>
    <t xml:space="preserve">Post Date</t>
  </si>
  <si>
    <t xml:space="preserve">Likes</t>
  </si>
  <si>
    <t xml:space="preserve">Shares</t>
  </si>
  <si>
    <t xml:space="preserve">Saves</t>
  </si>
  <si>
    <t xml:space="preserve">Hook (exact)</t>
  </si>
  <si>
    <t xml:space="preserve">Format</t>
  </si>
  <si>
    <t xml:space="preserve">Audio</t>
  </si>
  <si>
    <t xml:space="preserve">Beat-by-beat</t>
  </si>
  <si>
    <t xml:space="preserve">Gate: Followers &lt;100k (or views 5x+)</t>
  </si>
  <si>
    <t xml:space="preserve">Gate: Views 500k+</t>
  </si>
  <si>
    <t xml:space="preserve">Gate: Posted &lt;1 year</t>
  </si>
  <si>
    <t xml:space="preserve">Gate: Viral in US/EU</t>
  </si>
  <si>
    <t xml:space="preserve">Gate: Recreatable by PawPixel</t>
  </si>
  <si>
    <t xml:space="preserve">Fit: Niche (pets/pixel/widget)</t>
  </si>
  <si>
    <t xml:space="preserve">Fit: Tone (warm, playful)</t>
  </si>
  <si>
    <t xml:space="preserve">Fit: Format (faceless + screen-rec)</t>
  </si>
  <si>
    <t xml:space="preserve">Fit: No health claim / no fake footage</t>
  </si>
  <si>
    <t xml:space="preserve">Instant-reject flag</t>
  </si>
  <si>
    <t xml:space="preserve">Auto-flag</t>
  </si>
  <si>
    <t xml:space="preserve">Verdict</t>
  </si>
  <si>
    <t xml:space="preserve">Category</t>
  </si>
  <si>
    <t xml:space="preserve">Link</t>
  </si>
  <si>
    <t xml:space="preserve">CRE note</t>
  </si>
  <si>
    <t xml:space="preserve">@example_handle</t>
  </si>
  <si>
    <t xml:space="preserve">TikTok</t>
  </si>
  <si>
    <t xml:space="preserve">I turned my cat into a cartoon and she's not impressed</t>
  </si>
  <si>
    <t xml:space="preserve">Simple Clip + Simple Text</t>
  </si>
  <si>
    <t xml:space="preserve">Commercial Music Library, upbeat</t>
  </si>
  <si>
    <t xml:space="preserve">0–3s real cat stares; 3s beat cut to cartoon; 8s split screen; 12s cat walks off</t>
  </si>
  <si>
    <t xml:space="preserve">Y</t>
  </si>
  <si>
    <t xml:space="preserve">None</t>
  </si>
  <si>
    <t xml:space="preserve">Use</t>
  </si>
  <si>
    <t xml:space="preserve">Entertaining</t>
  </si>
  <si>
    <t xml:space="preserve">(paste the real URL)</t>
  </si>
  <si>
    <t xml:space="preserve">FORMAT EXAMPLE — illustrative values, not a real video.</t>
  </si>
  <si>
    <t xml:space="preserve">PawPixel — CRE guide</t>
  </si>
  <si>
    <t xml:space="preserve">HARD FILTER (all must pass)</t>
  </si>
  <si>
    <t xml:space="preserve">Under 100k. A bigger account is OK if views are about 5x+ followers.</t>
  </si>
  <si>
    <t xml:space="preserve">500k+. Sub-500k is OK in a tight niche (pixel art, bunnytok) with strong saves/shares; say so in the CRE note.</t>
  </si>
  <si>
    <t xml:space="preserve">Age</t>
  </si>
  <si>
    <t xml:space="preserve">Posted within 1 year; under 3 months is best.</t>
  </si>
  <si>
    <t xml:space="preserve">Geography</t>
  </si>
  <si>
    <t xml:space="preserve">Went viral in the US or Europe.</t>
  </si>
  <si>
    <t xml:space="preserve">Recreatable</t>
  </si>
  <si>
    <t xml:space="preserve">PawPixel can make it with a phone, its own pet, the app and CapCut.</t>
  </si>
  <si>
    <t xml:space="preserve">PAWPIXEL INSTANT REJECTS (flag, then adapt)</t>
  </si>
  <si>
    <t xml:space="preserve">Fake footage</t>
  </si>
  <si>
    <t xml:space="preserve">AI 'pet cam' or doorbell clips presented as real.</t>
  </si>
  <si>
    <t xml:space="preserve">Harm tests</t>
  </si>
  <si>
    <t xml:space="preserve">Scare, kidnap or wall 'tests'.</t>
  </si>
  <si>
    <t xml:space="preserve">Health claims</t>
  </si>
  <si>
    <t xml:space="preserve">'Keeps your pet healthy', 'prevents illness'. Reminders only.</t>
  </si>
  <si>
    <t xml:space="preserve">Reposts</t>
  </si>
  <si>
    <t xml:space="preserve">Other creators' clips. Instagram stops recommending reposting accounts.</t>
  </si>
  <si>
    <t xml:space="preserve">Trending sounds</t>
  </si>
  <si>
    <t xml:space="preserve">Business accounts must use the TikTok Commercial Music Library or Meta Sound Collection.</t>
  </si>
  <si>
    <t xml:space="preserve">Standard rejects</t>
  </si>
  <si>
    <t xml:space="preserve">Date-setting, conspiracy, sensational claims, skits/pranks, pro-studio edits.</t>
  </si>
  <si>
    <t xml:space="preserve">TWO JUDGMENT CALLS</t>
  </si>
  <si>
    <t xml:space="preserve">Attribution test</t>
  </si>
  <si>
    <t xml:space="preserve">Did the IDEA drive the views, or the creator's personal appeal (a famous pet, a charismatic face)? If the latter, adapt so the idea carries alone.</t>
  </si>
  <si>
    <t xml:space="preserve">Seems-to-fit trap</t>
  </si>
  <si>
    <t xml:space="preserve">Cozy-game and Tamagotchi content is adjacent but PawPixel is a care app, not a game. Borrow the shorthand; never promise gameplay.</t>
  </si>
  <si>
    <t xml:space="preserve">BATCH RULES</t>
  </si>
  <si>
    <t xml:space="preserve">Platforms</t>
  </si>
  <si>
    <t xml:space="preserve">Healthy TikTok and Instagram mix.</t>
  </si>
  <si>
    <t xml:space="preserve">Categories</t>
  </si>
  <si>
    <t xml:space="preserve">Spread Hero Story, Educational, Entertaining, Promotional across the five.</t>
  </si>
  <si>
    <t xml:space="preserve">CTA</t>
  </si>
  <si>
    <t xml:space="preserve">Always includes 'Follow'. Ladder: Follow + Save → Comment PIXEL (once the app is live) → Link in bio.</t>
  </si>
  <si>
    <t xml:space="preserve">Phrasing</t>
  </si>
  <si>
    <t xml:space="preserve">Never write follower multiples in client text. Write 'X views from an account with Y thousand followers'.</t>
  </si>
  <si>
    <t xml:space="preserve">Verification</t>
  </si>
  <si>
    <t xml:space="preserve">Check followers, views and dates on-platform before an idea goes into the master sheet.</t>
  </si>
  <si>
    <t xml:space="preserve">AUTO-FLAG</t>
  </si>
  <si>
    <t xml:space="preserve">⚠ gate/fit miss</t>
  </si>
  <si>
    <t xml:space="preserve">At least one check is N.</t>
  </si>
  <si>
    <t xml:space="preserve">⚠ reject flag</t>
  </si>
  <si>
    <t xml:space="preserve">An instant-reject is set.</t>
  </si>
  <si>
    <t xml:space="preserve">✓ strong candidate</t>
  </si>
  <si>
    <t xml:space="preserve">All nine checks are Y and no reject.</t>
  </si>
  <si>
    <t xml:space="preserve">fill checks</t>
  </si>
  <si>
    <t xml:space="preserve">Some checks are still blank.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</si>
</sst>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9D8"/>
        <bgColor rgb="FFFFF2CC"/>
      </patternFill>
    </fill>
    <fill>
      <patternFill patternType="solid">
        <fgColor rgb="FFFFF6EE"/>
        <bgColor rgb="FFFFF2CC"/>
      </patternFill>
    </fill>
    <fill>
      <patternFill patternType="solid">
        <fgColor rgb="FFFFF2CC"/>
        <bgColor rgb="FFFFE9D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4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6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9D8"/>
      <rgbColor rgb="FF99CCFF"/>
      <rgbColor rgb="FFFF99CC"/>
      <rgbColor rgb="FFCC99FF"/>
      <rgbColor rgb="FFF4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4"/>
    <col collapsed="false" customWidth="true" hidden="false" outlineLevel="0" max="9" min="9" style="0" width="34"/>
    <col collapsed="false" customWidth="true" hidden="false" outlineLevel="0" max="11" min="10" style="0" width="14"/>
    <col collapsed="false" customWidth="true" hidden="false" outlineLevel="0" max="12" min="12" style="0" width="40"/>
    <col collapsed="false" customWidth="true" hidden="false" outlineLevel="0" max="21" min="13" style="0" width="14"/>
    <col collapsed="false" customWidth="true" hidden="false" outlineLevel="0" max="22" min="22" style="0" width="24"/>
    <col collapsed="false" customWidth="true" hidden="false" outlineLevel="0" max="23" min="23" style="0" width="20"/>
    <col collapsed="false" customWidth="true" hidden="false" outlineLevel="0" max="25" min="24" style="0" width="14"/>
    <col collapsed="false" customWidth="true" hidden="false" outlineLevel="0" max="26" min="26" style="0" width="32"/>
    <col collapsed="false" customWidth="true" hidden="false" outlineLevel="0" max="27" min="27" style="0" width="40"/>
  </cols>
  <sheetData>
    <row r="1" customFormat="false" ht="17.35" hidden="false" customHeight="false" outlineLevel="0" collapsed="false">
      <c r="A1" s="1" t="s">
        <v>0</v>
      </c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</row>
    <row r="5" customFormat="false" ht="41.75" hidden="false" customHeight="false" outlineLevel="0" collapsed="false">
      <c r="A5" s="4" t="s">
        <v>29</v>
      </c>
      <c r="B5" s="4" t="s">
        <v>30</v>
      </c>
      <c r="C5" s="5" t="n">
        <v>42000</v>
      </c>
      <c r="D5" s="5" t="n">
        <v>1200000</v>
      </c>
      <c r="E5" s="6" t="n">
        <v>46248</v>
      </c>
      <c r="F5" s="5" t="n">
        <v>96000</v>
      </c>
      <c r="G5" s="5" t="n">
        <v>8100</v>
      </c>
      <c r="H5" s="5" t="n">
        <v>12400</v>
      </c>
      <c r="I5" s="4" t="s">
        <v>31</v>
      </c>
      <c r="J5" s="4" t="s">
        <v>32</v>
      </c>
      <c r="K5" s="4" t="s">
        <v>33</v>
      </c>
      <c r="L5" s="4" t="s">
        <v>34</v>
      </c>
      <c r="M5" s="4" t="s">
        <v>35</v>
      </c>
      <c r="N5" s="4" t="s">
        <v>35</v>
      </c>
      <c r="O5" s="4" t="s">
        <v>35</v>
      </c>
      <c r="P5" s="4" t="s">
        <v>35</v>
      </c>
      <c r="Q5" s="4" t="s">
        <v>35</v>
      </c>
      <c r="R5" s="4" t="s">
        <v>35</v>
      </c>
      <c r="S5" s="4" t="s">
        <v>35</v>
      </c>
      <c r="T5" s="4" t="s">
        <v>35</v>
      </c>
      <c r="U5" s="4" t="s">
        <v>35</v>
      </c>
      <c r="V5" s="4" t="s">
        <v>36</v>
      </c>
      <c r="W5" s="7" t="str">
        <f aca="false">IF(COUNTA(M5:U5)+COUNTA(A5)=0,"",IF(COUNTIF(M5:U5,"N")&gt;0,"⚠ gate/fit miss",IF(AND(V5&lt;&gt;"",V5&lt;&gt;"None"),"⚠ reject flag",IF(COUNTIF(M5:U5,"Y")=9,"✓ strong candidate","fill checks"))))</f>
        <v>✓ strong candidate</v>
      </c>
      <c r="X5" s="4" t="s">
        <v>37</v>
      </c>
      <c r="Y5" s="4" t="s">
        <v>38</v>
      </c>
      <c r="Z5" s="4" t="s">
        <v>39</v>
      </c>
      <c r="AA5" s="4" t="s">
        <v>40</v>
      </c>
    </row>
    <row r="6" customFormat="false" ht="15" hidden="false" customHeight="false" outlineLevel="0" collapsed="false">
      <c r="A6" s="8"/>
      <c r="B6" s="8"/>
      <c r="C6" s="9"/>
      <c r="D6" s="9"/>
      <c r="E6" s="10"/>
      <c r="F6" s="9"/>
      <c r="G6" s="9"/>
      <c r="H6" s="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7" t="str">
        <f aca="false">IF(COUNTA(M6:U6)+COUNTA(A6)=0,"",IF(COUNTIF(M6:U6,"N")&gt;0,"⚠ gate/fit miss",IF(AND(V6&lt;&gt;"",V6&lt;&gt;"None"),"⚠ reject flag",IF(COUNTIF(M6:U6,"Y")=9,"✓ strong candidate","fill checks"))))</f>
        <v/>
      </c>
      <c r="X6" s="8"/>
      <c r="Y6" s="8"/>
      <c r="Z6" s="8"/>
      <c r="AA6" s="8"/>
    </row>
    <row r="7" customFormat="false" ht="15" hidden="false" customHeight="false" outlineLevel="0" collapsed="false">
      <c r="A7" s="8"/>
      <c r="B7" s="8"/>
      <c r="C7" s="9"/>
      <c r="D7" s="9"/>
      <c r="E7" s="10"/>
      <c r="F7" s="9"/>
      <c r="G7" s="9"/>
      <c r="H7" s="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7" t="str">
        <f aca="false">IF(COUNTA(M7:U7)+COUNTA(A7)=0,"",IF(COUNTIF(M7:U7,"N")&gt;0,"⚠ gate/fit miss",IF(AND(V7&lt;&gt;"",V7&lt;&gt;"None"),"⚠ reject flag",IF(COUNTIF(M7:U7,"Y")=9,"✓ strong candidate","fill checks"))))</f>
        <v/>
      </c>
      <c r="X7" s="8"/>
      <c r="Y7" s="8"/>
      <c r="Z7" s="8"/>
      <c r="AA7" s="8"/>
    </row>
    <row r="8" customFormat="false" ht="15" hidden="false" customHeight="false" outlineLevel="0" collapsed="false">
      <c r="A8" s="8"/>
      <c r="B8" s="8"/>
      <c r="C8" s="9"/>
      <c r="D8" s="9"/>
      <c r="E8" s="10"/>
      <c r="F8" s="9"/>
      <c r="G8" s="9"/>
      <c r="H8" s="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7" t="str">
        <f aca="false">IF(COUNTA(M8:U8)+COUNTA(A8)=0,"",IF(COUNTIF(M8:U8,"N")&gt;0,"⚠ gate/fit miss",IF(AND(V8&lt;&gt;"",V8&lt;&gt;"None"),"⚠ reject flag",IF(COUNTIF(M8:U8,"Y")=9,"✓ strong candidate","fill checks"))))</f>
        <v/>
      </c>
      <c r="X8" s="8"/>
      <c r="Y8" s="8"/>
      <c r="Z8" s="8"/>
      <c r="AA8" s="8"/>
    </row>
    <row r="9" customFormat="false" ht="15" hidden="false" customHeight="false" outlineLevel="0" collapsed="false">
      <c r="A9" s="8"/>
      <c r="B9" s="8"/>
      <c r="C9" s="9"/>
      <c r="D9" s="9"/>
      <c r="E9" s="10"/>
      <c r="F9" s="9"/>
      <c r="G9" s="9"/>
      <c r="H9" s="9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7" t="str">
        <f aca="false">IF(COUNTA(M9:U9)+COUNTA(A9)=0,"",IF(COUNTIF(M9:U9,"N")&gt;0,"⚠ gate/fit miss",IF(AND(V9&lt;&gt;"",V9&lt;&gt;"None"),"⚠ reject flag",IF(COUNTIF(M9:U9,"Y")=9,"✓ strong candidate","fill checks"))))</f>
        <v/>
      </c>
      <c r="X9" s="8"/>
      <c r="Y9" s="8"/>
      <c r="Z9" s="8"/>
      <c r="AA9" s="8"/>
    </row>
    <row r="10" customFormat="false" ht="15" hidden="false" customHeight="false" outlineLevel="0" collapsed="false">
      <c r="A10" s="8"/>
      <c r="B10" s="8"/>
      <c r="C10" s="9"/>
      <c r="D10" s="9"/>
      <c r="E10" s="10"/>
      <c r="F10" s="9"/>
      <c r="G10" s="9"/>
      <c r="H10" s="9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7" t="str">
        <f aca="false">IF(COUNTA(M10:U10)+COUNTA(A10)=0,"",IF(COUNTIF(M10:U10,"N")&gt;0,"⚠ gate/fit miss",IF(AND(V10&lt;&gt;"",V10&lt;&gt;"None"),"⚠ reject flag",IF(COUNTIF(M10:U10,"Y")=9,"✓ strong candidate","fill checks"))))</f>
        <v/>
      </c>
      <c r="X10" s="8"/>
      <c r="Y10" s="8"/>
      <c r="Z10" s="8"/>
      <c r="AA10" s="8"/>
    </row>
    <row r="11" customFormat="false" ht="15" hidden="false" customHeight="false" outlineLevel="0" collapsed="false">
      <c r="A11" s="8"/>
      <c r="B11" s="8"/>
      <c r="C11" s="9"/>
      <c r="D11" s="9"/>
      <c r="E11" s="10"/>
      <c r="F11" s="9"/>
      <c r="G11" s="9"/>
      <c r="H11" s="9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7" t="str">
        <f aca="false">IF(COUNTA(M11:U11)+COUNTA(A11)=0,"",IF(COUNTIF(M11:U11,"N")&gt;0,"⚠ gate/fit miss",IF(AND(V11&lt;&gt;"",V11&lt;&gt;"None"),"⚠ reject flag",IF(COUNTIF(M11:U11,"Y")=9,"✓ strong candidate","fill checks"))))</f>
        <v/>
      </c>
      <c r="X11" s="8"/>
      <c r="Y11" s="8"/>
      <c r="Z11" s="8"/>
      <c r="AA11" s="8"/>
    </row>
    <row r="12" customFormat="false" ht="15" hidden="false" customHeight="false" outlineLevel="0" collapsed="false">
      <c r="A12" s="8"/>
      <c r="B12" s="8"/>
      <c r="C12" s="9"/>
      <c r="D12" s="9"/>
      <c r="E12" s="10"/>
      <c r="F12" s="9"/>
      <c r="G12" s="9"/>
      <c r="H12" s="9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7" t="str">
        <f aca="false">IF(COUNTA(M12:U12)+COUNTA(A12)=0,"",IF(COUNTIF(M12:U12,"N")&gt;0,"⚠ gate/fit miss",IF(AND(V12&lt;&gt;"",V12&lt;&gt;"None"),"⚠ reject flag",IF(COUNTIF(M12:U12,"Y")=9,"✓ strong candidate","fill checks"))))</f>
        <v/>
      </c>
      <c r="X12" s="8"/>
      <c r="Y12" s="8"/>
      <c r="Z12" s="8"/>
      <c r="AA12" s="8"/>
    </row>
    <row r="13" customFormat="false" ht="15" hidden="false" customHeight="false" outlineLevel="0" collapsed="false">
      <c r="A13" s="8"/>
      <c r="B13" s="8"/>
      <c r="C13" s="9"/>
      <c r="D13" s="9"/>
      <c r="E13" s="10"/>
      <c r="F13" s="9"/>
      <c r="G13" s="9"/>
      <c r="H13" s="9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7" t="str">
        <f aca="false">IF(COUNTA(M13:U13)+COUNTA(A13)=0,"",IF(COUNTIF(M13:U13,"N")&gt;0,"⚠ gate/fit miss",IF(AND(V13&lt;&gt;"",V13&lt;&gt;"None"),"⚠ reject flag",IF(COUNTIF(M13:U13,"Y")=9,"✓ strong candidate","fill checks"))))</f>
        <v/>
      </c>
      <c r="X13" s="8"/>
      <c r="Y13" s="8"/>
      <c r="Z13" s="8"/>
      <c r="AA13" s="8"/>
    </row>
    <row r="14" customFormat="false" ht="15" hidden="false" customHeight="false" outlineLevel="0" collapsed="false">
      <c r="A14" s="8"/>
      <c r="B14" s="8"/>
      <c r="C14" s="9"/>
      <c r="D14" s="9"/>
      <c r="E14" s="10"/>
      <c r="F14" s="9"/>
      <c r="G14" s="9"/>
      <c r="H14" s="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7" t="str">
        <f aca="false">IF(COUNTA(M14:U14)+COUNTA(A14)=0,"",IF(COUNTIF(M14:U14,"N")&gt;0,"⚠ gate/fit miss",IF(AND(V14&lt;&gt;"",V14&lt;&gt;"None"),"⚠ reject flag",IF(COUNTIF(M14:U14,"Y")=9,"✓ strong candidate","fill checks"))))</f>
        <v/>
      </c>
      <c r="X14" s="8"/>
      <c r="Y14" s="8"/>
      <c r="Z14" s="8"/>
      <c r="AA14" s="8"/>
    </row>
    <row r="15" customFormat="false" ht="15" hidden="false" customHeight="false" outlineLevel="0" collapsed="false">
      <c r="A15" s="8"/>
      <c r="B15" s="8"/>
      <c r="C15" s="9"/>
      <c r="D15" s="9"/>
      <c r="E15" s="10"/>
      <c r="F15" s="9"/>
      <c r="G15" s="9"/>
      <c r="H15" s="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7" t="str">
        <f aca="false">IF(COUNTA(M15:U15)+COUNTA(A15)=0,"",IF(COUNTIF(M15:U15,"N")&gt;0,"⚠ gate/fit miss",IF(AND(V15&lt;&gt;"",V15&lt;&gt;"None"),"⚠ reject flag",IF(COUNTIF(M15:U15,"Y")=9,"✓ strong candidate","fill checks"))))</f>
        <v/>
      </c>
      <c r="X15" s="8"/>
      <c r="Y15" s="8"/>
      <c r="Z15" s="8"/>
      <c r="AA15" s="8"/>
    </row>
    <row r="16" customFormat="false" ht="15" hidden="false" customHeight="false" outlineLevel="0" collapsed="false">
      <c r="A16" s="8"/>
      <c r="B16" s="8"/>
      <c r="C16" s="9"/>
      <c r="D16" s="9"/>
      <c r="E16" s="10"/>
      <c r="F16" s="9"/>
      <c r="G16" s="9"/>
      <c r="H16" s="9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7" t="str">
        <f aca="false">IF(COUNTA(M16:U16)+COUNTA(A16)=0,"",IF(COUNTIF(M16:U16,"N")&gt;0,"⚠ gate/fit miss",IF(AND(V16&lt;&gt;"",V16&lt;&gt;"None"),"⚠ reject flag",IF(COUNTIF(M16:U16,"Y")=9,"✓ strong candidate","fill checks"))))</f>
        <v/>
      </c>
      <c r="X16" s="8"/>
      <c r="Y16" s="8"/>
      <c r="Z16" s="8"/>
      <c r="AA16" s="8"/>
    </row>
    <row r="17" customFormat="false" ht="15" hidden="false" customHeight="false" outlineLevel="0" collapsed="false">
      <c r="A17" s="8"/>
      <c r="B17" s="8"/>
      <c r="C17" s="9"/>
      <c r="D17" s="9"/>
      <c r="E17" s="10"/>
      <c r="F17" s="9"/>
      <c r="G17" s="9"/>
      <c r="H17" s="9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7" t="str">
        <f aca="false">IF(COUNTA(M17:U17)+COUNTA(A17)=0,"",IF(COUNTIF(M17:U17,"N")&gt;0,"⚠ gate/fit miss",IF(AND(V17&lt;&gt;"",V17&lt;&gt;"None"),"⚠ reject flag",IF(COUNTIF(M17:U17,"Y")=9,"✓ strong candidate","fill checks"))))</f>
        <v/>
      </c>
      <c r="X17" s="8"/>
      <c r="Y17" s="8"/>
      <c r="Z17" s="8"/>
      <c r="AA17" s="8"/>
    </row>
    <row r="18" customFormat="false" ht="15" hidden="false" customHeight="false" outlineLevel="0" collapsed="false">
      <c r="A18" s="8"/>
      <c r="B18" s="8"/>
      <c r="C18" s="9"/>
      <c r="D18" s="9"/>
      <c r="E18" s="10"/>
      <c r="F18" s="9"/>
      <c r="G18" s="9"/>
      <c r="H18" s="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7" t="str">
        <f aca="false">IF(COUNTA(M18:U18)+COUNTA(A18)=0,"",IF(COUNTIF(M18:U18,"N")&gt;0,"⚠ gate/fit miss",IF(AND(V18&lt;&gt;"",V18&lt;&gt;"None"),"⚠ reject flag",IF(COUNTIF(M18:U18,"Y")=9,"✓ strong candidate","fill checks"))))</f>
        <v/>
      </c>
      <c r="X18" s="8"/>
      <c r="Y18" s="8"/>
      <c r="Z18" s="8"/>
      <c r="AA18" s="8"/>
    </row>
    <row r="19" customFormat="false" ht="15" hidden="false" customHeight="false" outlineLevel="0" collapsed="false">
      <c r="A19" s="8"/>
      <c r="B19" s="8"/>
      <c r="C19" s="9"/>
      <c r="D19" s="9"/>
      <c r="E19" s="10"/>
      <c r="F19" s="9"/>
      <c r="G19" s="9"/>
      <c r="H19" s="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7" t="str">
        <f aca="false">IF(COUNTA(M19:U19)+COUNTA(A19)=0,"",IF(COUNTIF(M19:U19,"N")&gt;0,"⚠ gate/fit miss",IF(AND(V19&lt;&gt;"",V19&lt;&gt;"None"),"⚠ reject flag",IF(COUNTIF(M19:U19,"Y")=9,"✓ strong candidate","fill checks"))))</f>
        <v/>
      </c>
      <c r="X19" s="8"/>
      <c r="Y19" s="8"/>
      <c r="Z19" s="8"/>
      <c r="AA19" s="8"/>
    </row>
    <row r="20" customFormat="false" ht="15" hidden="false" customHeight="false" outlineLevel="0" collapsed="false">
      <c r="A20" s="8"/>
      <c r="B20" s="8"/>
      <c r="C20" s="9"/>
      <c r="D20" s="9"/>
      <c r="E20" s="10"/>
      <c r="F20" s="9"/>
      <c r="G20" s="9"/>
      <c r="H20" s="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7" t="str">
        <f aca="false">IF(COUNTA(M20:U20)+COUNTA(A20)=0,"",IF(COUNTIF(M20:U20,"N")&gt;0,"⚠ gate/fit miss",IF(AND(V20&lt;&gt;"",V20&lt;&gt;"None"),"⚠ reject flag",IF(COUNTIF(M20:U20,"Y")=9,"✓ strong candidate","fill checks"))))</f>
        <v/>
      </c>
      <c r="X20" s="8"/>
      <c r="Y20" s="8"/>
      <c r="Z20" s="8"/>
      <c r="AA20" s="8"/>
    </row>
    <row r="21" customFormat="false" ht="15" hidden="false" customHeight="false" outlineLevel="0" collapsed="false">
      <c r="A21" s="8"/>
      <c r="B21" s="8"/>
      <c r="C21" s="9"/>
      <c r="D21" s="9"/>
      <c r="E21" s="10"/>
      <c r="F21" s="9"/>
      <c r="G21" s="9"/>
      <c r="H21" s="9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7" t="str">
        <f aca="false">IF(COUNTA(M21:U21)+COUNTA(A21)=0,"",IF(COUNTIF(M21:U21,"N")&gt;0,"⚠ gate/fit miss",IF(AND(V21&lt;&gt;"",V21&lt;&gt;"None"),"⚠ reject flag",IF(COUNTIF(M21:U21,"Y")=9,"✓ strong candidate","fill checks"))))</f>
        <v/>
      </c>
      <c r="X21" s="8"/>
      <c r="Y21" s="8"/>
      <c r="Z21" s="8"/>
      <c r="AA21" s="8"/>
    </row>
    <row r="22" customFormat="false" ht="15" hidden="false" customHeight="false" outlineLevel="0" collapsed="false">
      <c r="A22" s="8"/>
      <c r="B22" s="8"/>
      <c r="C22" s="9"/>
      <c r="D22" s="9"/>
      <c r="E22" s="10"/>
      <c r="F22" s="9"/>
      <c r="G22" s="9"/>
      <c r="H22" s="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7" t="str">
        <f aca="false">IF(COUNTA(M22:U22)+COUNTA(A22)=0,"",IF(COUNTIF(M22:U22,"N")&gt;0,"⚠ gate/fit miss",IF(AND(V22&lt;&gt;"",V22&lt;&gt;"None"),"⚠ reject flag",IF(COUNTIF(M22:U22,"Y")=9,"✓ strong candidate","fill checks"))))</f>
        <v/>
      </c>
      <c r="X22" s="8"/>
      <c r="Y22" s="8"/>
      <c r="Z22" s="8"/>
      <c r="AA22" s="8"/>
    </row>
    <row r="23" customFormat="false" ht="15" hidden="false" customHeight="false" outlineLevel="0" collapsed="false">
      <c r="A23" s="8"/>
      <c r="B23" s="8"/>
      <c r="C23" s="9"/>
      <c r="D23" s="9"/>
      <c r="E23" s="10"/>
      <c r="F23" s="9"/>
      <c r="G23" s="9"/>
      <c r="H23" s="9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7" t="str">
        <f aca="false">IF(COUNTA(M23:U23)+COUNTA(A23)=0,"",IF(COUNTIF(M23:U23,"N")&gt;0,"⚠ gate/fit miss",IF(AND(V23&lt;&gt;"",V23&lt;&gt;"None"),"⚠ reject flag",IF(COUNTIF(M23:U23,"Y")=9,"✓ strong candidate","fill checks"))))</f>
        <v/>
      </c>
      <c r="X23" s="8"/>
      <c r="Y23" s="8"/>
      <c r="Z23" s="8"/>
      <c r="AA23" s="8"/>
    </row>
    <row r="24" customFormat="false" ht="15" hidden="false" customHeight="false" outlineLevel="0" collapsed="false">
      <c r="A24" s="8"/>
      <c r="B24" s="8"/>
      <c r="C24" s="9"/>
      <c r="D24" s="9"/>
      <c r="E24" s="10"/>
      <c r="F24" s="9"/>
      <c r="G24" s="9"/>
      <c r="H24" s="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7" t="str">
        <f aca="false">IF(COUNTA(M24:U24)+COUNTA(A24)=0,"",IF(COUNTIF(M24:U24,"N")&gt;0,"⚠ gate/fit miss",IF(AND(V24&lt;&gt;"",V24&lt;&gt;"None"),"⚠ reject flag",IF(COUNTIF(M24:U24,"Y")=9,"✓ strong candidate","fill checks"))))</f>
        <v/>
      </c>
      <c r="X24" s="8"/>
      <c r="Y24" s="8"/>
      <c r="Z24" s="8"/>
      <c r="AA24" s="8"/>
    </row>
    <row r="25" customFormat="false" ht="15" hidden="false" customHeight="false" outlineLevel="0" collapsed="false">
      <c r="A25" s="8"/>
      <c r="B25" s="8"/>
      <c r="C25" s="9"/>
      <c r="D25" s="9"/>
      <c r="E25" s="10"/>
      <c r="F25" s="9"/>
      <c r="G25" s="9"/>
      <c r="H25" s="9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7" t="str">
        <f aca="false">IF(COUNTA(M25:U25)+COUNTA(A25)=0,"",IF(COUNTIF(M25:U25,"N")&gt;0,"⚠ gate/fit miss",IF(AND(V25&lt;&gt;"",V25&lt;&gt;"None"),"⚠ reject flag",IF(COUNTIF(M25:U25,"Y")=9,"✓ strong candidate","fill checks"))))</f>
        <v/>
      </c>
      <c r="X25" s="8"/>
      <c r="Y25" s="8"/>
      <c r="Z25" s="8"/>
      <c r="AA25" s="8"/>
    </row>
    <row r="26" customFormat="false" ht="15" hidden="false" customHeight="false" outlineLevel="0" collapsed="false">
      <c r="A26" s="8"/>
      <c r="B26" s="8"/>
      <c r="C26" s="9"/>
      <c r="D26" s="9"/>
      <c r="E26" s="10"/>
      <c r="F26" s="9"/>
      <c r="G26" s="9"/>
      <c r="H26" s="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7" t="str">
        <f aca="false">IF(COUNTA(M26:U26)+COUNTA(A26)=0,"",IF(COUNTIF(M26:U26,"N")&gt;0,"⚠ gate/fit miss",IF(AND(V26&lt;&gt;"",V26&lt;&gt;"None"),"⚠ reject flag",IF(COUNTIF(M26:U26,"Y")=9,"✓ strong candidate","fill checks"))))</f>
        <v/>
      </c>
      <c r="X26" s="8"/>
      <c r="Y26" s="8"/>
      <c r="Z26" s="8"/>
      <c r="AA26" s="8"/>
    </row>
    <row r="27" customFormat="false" ht="15" hidden="false" customHeight="false" outlineLevel="0" collapsed="false">
      <c r="A27" s="8"/>
      <c r="B27" s="8"/>
      <c r="C27" s="9"/>
      <c r="D27" s="9"/>
      <c r="E27" s="10"/>
      <c r="F27" s="9"/>
      <c r="G27" s="9"/>
      <c r="H27" s="9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7" t="str">
        <f aca="false">IF(COUNTA(M27:U27)+COUNTA(A27)=0,"",IF(COUNTIF(M27:U27,"N")&gt;0,"⚠ gate/fit miss",IF(AND(V27&lt;&gt;"",V27&lt;&gt;"None"),"⚠ reject flag",IF(COUNTIF(M27:U27,"Y")=9,"✓ strong candidate","fill checks"))))</f>
        <v/>
      </c>
      <c r="X27" s="8"/>
      <c r="Y27" s="8"/>
      <c r="Z27" s="8"/>
      <c r="AA27" s="8"/>
    </row>
    <row r="28" customFormat="false" ht="15" hidden="false" customHeight="false" outlineLevel="0" collapsed="false">
      <c r="A28" s="8"/>
      <c r="B28" s="8"/>
      <c r="C28" s="9"/>
      <c r="D28" s="9"/>
      <c r="E28" s="10"/>
      <c r="F28" s="9"/>
      <c r="G28" s="9"/>
      <c r="H28" s="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7" t="str">
        <f aca="false">IF(COUNTA(M28:U28)+COUNTA(A28)=0,"",IF(COUNTIF(M28:U28,"N")&gt;0,"⚠ gate/fit miss",IF(AND(V28&lt;&gt;"",V28&lt;&gt;"None"),"⚠ reject flag",IF(COUNTIF(M28:U28,"Y")=9,"✓ strong candidate","fill checks"))))</f>
        <v/>
      </c>
      <c r="X28" s="8"/>
      <c r="Y28" s="8"/>
      <c r="Z28" s="8"/>
      <c r="AA28" s="8"/>
    </row>
    <row r="29" customFormat="false" ht="15" hidden="false" customHeight="false" outlineLevel="0" collapsed="false">
      <c r="A29" s="8"/>
      <c r="B29" s="8"/>
      <c r="C29" s="9"/>
      <c r="D29" s="9"/>
      <c r="E29" s="10"/>
      <c r="F29" s="9"/>
      <c r="G29" s="9"/>
      <c r="H29" s="9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7" t="str">
        <f aca="false">IF(COUNTA(M29:U29)+COUNTA(A29)=0,"",IF(COUNTIF(M29:U29,"N")&gt;0,"⚠ gate/fit miss",IF(AND(V29&lt;&gt;"",V29&lt;&gt;"None"),"⚠ reject flag",IF(COUNTIF(M29:U29,"Y")=9,"✓ strong candidate","fill checks"))))</f>
        <v/>
      </c>
      <c r="X29" s="8"/>
      <c r="Y29" s="8"/>
      <c r="Z29" s="8"/>
      <c r="AA29" s="8"/>
    </row>
    <row r="30" customFormat="false" ht="15" hidden="false" customHeight="false" outlineLevel="0" collapsed="false">
      <c r="A30" s="8"/>
      <c r="B30" s="8"/>
      <c r="C30" s="9"/>
      <c r="D30" s="9"/>
      <c r="E30" s="10"/>
      <c r="F30" s="9"/>
      <c r="G30" s="9"/>
      <c r="H30" s="9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7" t="str">
        <f aca="false">IF(COUNTA(M30:U30)+COUNTA(A30)=0,"",IF(COUNTIF(M30:U30,"N")&gt;0,"⚠ gate/fit miss",IF(AND(V30&lt;&gt;"",V30&lt;&gt;"None"),"⚠ reject flag",IF(COUNTIF(M30:U30,"Y")=9,"✓ strong candidate","fill checks"))))</f>
        <v/>
      </c>
      <c r="X30" s="8"/>
      <c r="Y30" s="8"/>
      <c r="Z30" s="8"/>
      <c r="AA30" s="8"/>
    </row>
    <row r="31" customFormat="false" ht="15" hidden="false" customHeight="false" outlineLevel="0" collapsed="false">
      <c r="A31" s="8"/>
      <c r="B31" s="8"/>
      <c r="C31" s="9"/>
      <c r="D31" s="9"/>
      <c r="E31" s="10"/>
      <c r="F31" s="9"/>
      <c r="G31" s="9"/>
      <c r="H31" s="9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7" t="str">
        <f aca="false">IF(COUNTA(M31:U31)+COUNTA(A31)=0,"",IF(COUNTIF(M31:U31,"N")&gt;0,"⚠ gate/fit miss",IF(AND(V31&lt;&gt;"",V31&lt;&gt;"None"),"⚠ reject flag",IF(COUNTIF(M31:U31,"Y")=9,"✓ strong candidate","fill checks"))))</f>
        <v/>
      </c>
      <c r="X31" s="8"/>
      <c r="Y31" s="8"/>
      <c r="Z31" s="8"/>
      <c r="AA31" s="8"/>
    </row>
    <row r="32" customFormat="false" ht="15" hidden="false" customHeight="false" outlineLevel="0" collapsed="false">
      <c r="A32" s="8"/>
      <c r="B32" s="8"/>
      <c r="C32" s="9"/>
      <c r="D32" s="9"/>
      <c r="E32" s="10"/>
      <c r="F32" s="9"/>
      <c r="G32" s="9"/>
      <c r="H32" s="9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7" t="str">
        <f aca="false">IF(COUNTA(M32:U32)+COUNTA(A32)=0,"",IF(COUNTIF(M32:U32,"N")&gt;0,"⚠ gate/fit miss",IF(AND(V32&lt;&gt;"",V32&lt;&gt;"None"),"⚠ reject flag",IF(COUNTIF(M32:U32,"Y")=9,"✓ strong candidate","fill checks"))))</f>
        <v/>
      </c>
      <c r="X32" s="8"/>
      <c r="Y32" s="8"/>
      <c r="Z32" s="8"/>
      <c r="AA32" s="8"/>
    </row>
    <row r="33" customFormat="false" ht="15" hidden="false" customHeight="false" outlineLevel="0" collapsed="false">
      <c r="A33" s="8"/>
      <c r="B33" s="8"/>
      <c r="C33" s="9"/>
      <c r="D33" s="9"/>
      <c r="E33" s="10"/>
      <c r="F33" s="9"/>
      <c r="G33" s="9"/>
      <c r="H33" s="9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7" t="str">
        <f aca="false">IF(COUNTA(M33:U33)+COUNTA(A33)=0,"",IF(COUNTIF(M33:U33,"N")&gt;0,"⚠ gate/fit miss",IF(AND(V33&lt;&gt;"",V33&lt;&gt;"None"),"⚠ reject flag",IF(COUNTIF(M33:U33,"Y")=9,"✓ strong candidate","fill checks"))))</f>
        <v/>
      </c>
      <c r="X33" s="8"/>
      <c r="Y33" s="8"/>
      <c r="Z33" s="8"/>
      <c r="AA33" s="8"/>
    </row>
    <row r="34" customFormat="false" ht="15" hidden="false" customHeight="false" outlineLevel="0" collapsed="false">
      <c r="A34" s="8"/>
      <c r="B34" s="8"/>
      <c r="C34" s="9"/>
      <c r="D34" s="9"/>
      <c r="E34" s="10"/>
      <c r="F34" s="9"/>
      <c r="G34" s="9"/>
      <c r="H34" s="9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7" t="str">
        <f aca="false">IF(COUNTA(M34:U34)+COUNTA(A34)=0,"",IF(COUNTIF(M34:U34,"N")&gt;0,"⚠ gate/fit miss",IF(AND(V34&lt;&gt;"",V34&lt;&gt;"None"),"⚠ reject flag",IF(COUNTIF(M34:U34,"Y")=9,"✓ strong candidate","fill checks"))))</f>
        <v/>
      </c>
      <c r="X34" s="8"/>
      <c r="Y34" s="8"/>
      <c r="Z34" s="8"/>
      <c r="AA34" s="8"/>
    </row>
    <row r="35" customFormat="false" ht="15" hidden="false" customHeight="false" outlineLevel="0" collapsed="false">
      <c r="A35" s="8"/>
      <c r="B35" s="8"/>
      <c r="C35" s="9"/>
      <c r="D35" s="9"/>
      <c r="E35" s="10"/>
      <c r="F35" s="9"/>
      <c r="G35" s="9"/>
      <c r="H35" s="9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7" t="str">
        <f aca="false">IF(COUNTA(M35:U35)+COUNTA(A35)=0,"",IF(COUNTIF(M35:U35,"N")&gt;0,"⚠ gate/fit miss",IF(AND(V35&lt;&gt;"",V35&lt;&gt;"None"),"⚠ reject flag",IF(COUNTIF(M35:U35,"Y")=9,"✓ strong candidate","fill checks"))))</f>
        <v/>
      </c>
      <c r="X35" s="8"/>
      <c r="Y35" s="8"/>
      <c r="Z35" s="8"/>
      <c r="AA35" s="8"/>
    </row>
    <row r="36" customFormat="false" ht="15" hidden="false" customHeight="false" outlineLevel="0" collapsed="false">
      <c r="A36" s="8"/>
      <c r="B36" s="8"/>
      <c r="C36" s="9"/>
      <c r="D36" s="9"/>
      <c r="E36" s="10"/>
      <c r="F36" s="9"/>
      <c r="G36" s="9"/>
      <c r="H36" s="9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7" t="str">
        <f aca="false">IF(COUNTA(M36:U36)+COUNTA(A36)=0,"",IF(COUNTIF(M36:U36,"N")&gt;0,"⚠ gate/fit miss",IF(AND(V36&lt;&gt;"",V36&lt;&gt;"None"),"⚠ reject flag",IF(COUNTIF(M36:U36,"Y")=9,"✓ strong candidate","fill checks"))))</f>
        <v/>
      </c>
      <c r="X36" s="8"/>
      <c r="Y36" s="8"/>
      <c r="Z36" s="8"/>
      <c r="AA36" s="8"/>
    </row>
    <row r="37" customFormat="false" ht="15" hidden="false" customHeight="false" outlineLevel="0" collapsed="false">
      <c r="A37" s="8"/>
      <c r="B37" s="8"/>
      <c r="C37" s="9"/>
      <c r="D37" s="9"/>
      <c r="E37" s="10"/>
      <c r="F37" s="9"/>
      <c r="G37" s="9"/>
      <c r="H37" s="9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7" t="str">
        <f aca="false">IF(COUNTA(M37:U37)+COUNTA(A37)=0,"",IF(COUNTIF(M37:U37,"N")&gt;0,"⚠ gate/fit miss",IF(AND(V37&lt;&gt;"",V37&lt;&gt;"None"),"⚠ reject flag",IF(COUNTIF(M37:U37,"Y")=9,"✓ strong candidate","fill checks"))))</f>
        <v/>
      </c>
      <c r="X37" s="8"/>
      <c r="Y37" s="8"/>
      <c r="Z37" s="8"/>
      <c r="AA37" s="8"/>
    </row>
    <row r="38" customFormat="false" ht="15" hidden="false" customHeight="false" outlineLevel="0" collapsed="false">
      <c r="A38" s="8"/>
      <c r="B38" s="8"/>
      <c r="C38" s="9"/>
      <c r="D38" s="9"/>
      <c r="E38" s="10"/>
      <c r="F38" s="9"/>
      <c r="G38" s="9"/>
      <c r="H38" s="9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7" t="str">
        <f aca="false">IF(COUNTA(M38:U38)+COUNTA(A38)=0,"",IF(COUNTIF(M38:U38,"N")&gt;0,"⚠ gate/fit miss",IF(AND(V38&lt;&gt;"",V38&lt;&gt;"None"),"⚠ reject flag",IF(COUNTIF(M38:U38,"Y")=9,"✓ strong candidate","fill checks"))))</f>
        <v/>
      </c>
      <c r="X38" s="8"/>
      <c r="Y38" s="8"/>
      <c r="Z38" s="8"/>
      <c r="AA38" s="8"/>
    </row>
    <row r="39" customFormat="false" ht="15" hidden="false" customHeight="false" outlineLevel="0" collapsed="false">
      <c r="A39" s="8"/>
      <c r="B39" s="8"/>
      <c r="C39" s="9"/>
      <c r="D39" s="9"/>
      <c r="E39" s="10"/>
      <c r="F39" s="9"/>
      <c r="G39" s="9"/>
      <c r="H39" s="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7" t="str">
        <f aca="false">IF(COUNTA(M39:U39)+COUNTA(A39)=0,"",IF(COUNTIF(M39:U39,"N")&gt;0,"⚠ gate/fit miss",IF(AND(V39&lt;&gt;"",V39&lt;&gt;"None"),"⚠ reject flag",IF(COUNTIF(M39:U39,"Y")=9,"✓ strong candidate","fill checks"))))</f>
        <v/>
      </c>
      <c r="X39" s="8"/>
      <c r="Y39" s="8"/>
      <c r="Z39" s="8"/>
      <c r="AA39" s="8"/>
    </row>
    <row r="40" customFormat="false" ht="15" hidden="false" customHeight="false" outlineLevel="0" collapsed="false">
      <c r="A40" s="8"/>
      <c r="B40" s="8"/>
      <c r="C40" s="9"/>
      <c r="D40" s="9"/>
      <c r="E40" s="10"/>
      <c r="F40" s="9"/>
      <c r="G40" s="9"/>
      <c r="H40" s="9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7" t="str">
        <f aca="false">IF(COUNTA(M40:U40)+COUNTA(A40)=0,"",IF(COUNTIF(M40:U40,"N")&gt;0,"⚠ gate/fit miss",IF(AND(V40&lt;&gt;"",V40&lt;&gt;"None"),"⚠ reject flag",IF(COUNTIF(M40:U40,"Y")=9,"✓ strong candidate","fill checks"))))</f>
        <v/>
      </c>
      <c r="X40" s="8"/>
      <c r="Y40" s="8"/>
      <c r="Z40" s="8"/>
      <c r="AA40" s="8"/>
    </row>
    <row r="41" customFormat="false" ht="15" hidden="false" customHeight="false" outlineLevel="0" collapsed="false">
      <c r="A41" s="8"/>
      <c r="B41" s="8"/>
      <c r="C41" s="9"/>
      <c r="D41" s="9"/>
      <c r="E41" s="10"/>
      <c r="F41" s="9"/>
      <c r="G41" s="9"/>
      <c r="H41" s="9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7" t="str">
        <f aca="false">IF(COUNTA(M41:U41)+COUNTA(A41)=0,"",IF(COUNTIF(M41:U41,"N")&gt;0,"⚠ gate/fit miss",IF(AND(V41&lt;&gt;"",V41&lt;&gt;"None"),"⚠ reject flag",IF(COUNTIF(M41:U41,"Y")=9,"✓ strong candidate","fill checks"))))</f>
        <v/>
      </c>
      <c r="X41" s="8"/>
      <c r="Y41" s="8"/>
      <c r="Z41" s="8"/>
      <c r="AA41" s="8"/>
    </row>
    <row r="42" customFormat="false" ht="15" hidden="false" customHeight="false" outlineLevel="0" collapsed="false">
      <c r="A42" s="8"/>
      <c r="B42" s="8"/>
      <c r="C42" s="9"/>
      <c r="D42" s="9"/>
      <c r="E42" s="10"/>
      <c r="F42" s="9"/>
      <c r="G42" s="9"/>
      <c r="H42" s="9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7" t="str">
        <f aca="false">IF(COUNTA(M42:U42)+COUNTA(A42)=0,"",IF(COUNTIF(M42:U42,"N")&gt;0,"⚠ gate/fit miss",IF(AND(V42&lt;&gt;"",V42&lt;&gt;"None"),"⚠ reject flag",IF(COUNTIF(M42:U42,"Y")=9,"✓ strong candidate","fill checks"))))</f>
        <v/>
      </c>
      <c r="X42" s="8"/>
      <c r="Y42" s="8"/>
      <c r="Z42" s="8"/>
      <c r="AA42" s="8"/>
    </row>
    <row r="43" customFormat="false" ht="15" hidden="false" customHeight="false" outlineLevel="0" collapsed="false">
      <c r="A43" s="8"/>
      <c r="B43" s="8"/>
      <c r="C43" s="9"/>
      <c r="D43" s="9"/>
      <c r="E43" s="10"/>
      <c r="F43" s="9"/>
      <c r="G43" s="9"/>
      <c r="H43" s="9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7" t="str">
        <f aca="false">IF(COUNTA(M43:U43)+COUNTA(A43)=0,"",IF(COUNTIF(M43:U43,"N")&gt;0,"⚠ gate/fit miss",IF(AND(V43&lt;&gt;"",V43&lt;&gt;"None"),"⚠ reject flag",IF(COUNTIF(M43:U43,"Y")=9,"✓ strong candidate","fill checks"))))</f>
        <v/>
      </c>
      <c r="X43" s="8"/>
      <c r="Y43" s="8"/>
      <c r="Z43" s="8"/>
      <c r="AA43" s="8"/>
    </row>
    <row r="44" customFormat="false" ht="15" hidden="false" customHeight="false" outlineLevel="0" collapsed="false">
      <c r="A44" s="8"/>
      <c r="B44" s="8"/>
      <c r="C44" s="9"/>
      <c r="D44" s="9"/>
      <c r="E44" s="10"/>
      <c r="F44" s="9"/>
      <c r="G44" s="9"/>
      <c r="H44" s="9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7" t="str">
        <f aca="false">IF(COUNTA(M44:U44)+COUNTA(A44)=0,"",IF(COUNTIF(M44:U44,"N")&gt;0,"⚠ gate/fit miss",IF(AND(V44&lt;&gt;"",V44&lt;&gt;"None"),"⚠ reject flag",IF(COUNTIF(M44:U44,"Y")=9,"✓ strong candidate","fill checks"))))</f>
        <v/>
      </c>
      <c r="X44" s="8"/>
      <c r="Y44" s="8"/>
      <c r="Z44" s="8"/>
      <c r="AA44" s="8"/>
    </row>
    <row r="45" customFormat="false" ht="15" hidden="false" customHeight="false" outlineLevel="0" collapsed="false">
      <c r="A45" s="8"/>
      <c r="B45" s="8"/>
      <c r="C45" s="9"/>
      <c r="D45" s="9"/>
      <c r="E45" s="10"/>
      <c r="F45" s="9"/>
      <c r="G45" s="9"/>
      <c r="H45" s="9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7" t="str">
        <f aca="false">IF(COUNTA(M45:U45)+COUNTA(A45)=0,"",IF(COUNTIF(M45:U45,"N")&gt;0,"⚠ gate/fit miss",IF(AND(V45&lt;&gt;"",V45&lt;&gt;"None"),"⚠ reject flag",IF(COUNTIF(M45:U45,"Y")=9,"✓ strong candidate","fill checks"))))</f>
        <v/>
      </c>
      <c r="X45" s="8"/>
      <c r="Y45" s="8"/>
      <c r="Z45" s="8"/>
      <c r="AA45" s="8"/>
    </row>
    <row r="46" customFormat="false" ht="15" hidden="false" customHeight="false" outlineLevel="0" collapsed="false">
      <c r="A46" s="8"/>
      <c r="B46" s="8"/>
      <c r="C46" s="9"/>
      <c r="D46" s="9"/>
      <c r="E46" s="10"/>
      <c r="F46" s="9"/>
      <c r="G46" s="9"/>
      <c r="H46" s="9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7" t="str">
        <f aca="false">IF(COUNTA(M46:U46)+COUNTA(A46)=0,"",IF(COUNTIF(M46:U46,"N")&gt;0,"⚠ gate/fit miss",IF(AND(V46&lt;&gt;"",V46&lt;&gt;"None"),"⚠ reject flag",IF(COUNTIF(M46:U46,"Y")=9,"✓ strong candidate","fill checks"))))</f>
        <v/>
      </c>
      <c r="X46" s="8"/>
      <c r="Y46" s="8"/>
      <c r="Z46" s="8"/>
      <c r="AA46" s="8"/>
    </row>
    <row r="47" customFormat="false" ht="15" hidden="false" customHeight="false" outlineLevel="0" collapsed="false">
      <c r="A47" s="8"/>
      <c r="B47" s="8"/>
      <c r="C47" s="9"/>
      <c r="D47" s="9"/>
      <c r="E47" s="10"/>
      <c r="F47" s="9"/>
      <c r="G47" s="9"/>
      <c r="H47" s="9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7" t="str">
        <f aca="false">IF(COUNTA(M47:U47)+COUNTA(A47)=0,"",IF(COUNTIF(M47:U47,"N")&gt;0,"⚠ gate/fit miss",IF(AND(V47&lt;&gt;"",V47&lt;&gt;"None"),"⚠ reject flag",IF(COUNTIF(M47:U47,"Y")=9,"✓ strong candidate","fill checks"))))</f>
        <v/>
      </c>
      <c r="X47" s="8"/>
      <c r="Y47" s="8"/>
      <c r="Z47" s="8"/>
      <c r="AA47" s="8"/>
    </row>
    <row r="48" customFormat="false" ht="15" hidden="false" customHeight="false" outlineLevel="0" collapsed="false">
      <c r="A48" s="8"/>
      <c r="B48" s="8"/>
      <c r="C48" s="9"/>
      <c r="D48" s="9"/>
      <c r="E48" s="10"/>
      <c r="F48" s="9"/>
      <c r="G48" s="9"/>
      <c r="H48" s="9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7" t="str">
        <f aca="false">IF(COUNTA(M48:U48)+COUNTA(A48)=0,"",IF(COUNTIF(M48:U48,"N")&gt;0,"⚠ gate/fit miss",IF(AND(V48&lt;&gt;"",V48&lt;&gt;"None"),"⚠ reject flag",IF(COUNTIF(M48:U48,"Y")=9,"✓ strong candidate","fill checks"))))</f>
        <v/>
      </c>
      <c r="X48" s="8"/>
      <c r="Y48" s="8"/>
      <c r="Z48" s="8"/>
      <c r="AA48" s="8"/>
    </row>
    <row r="49" customFormat="false" ht="15" hidden="false" customHeight="false" outlineLevel="0" collapsed="false">
      <c r="A49" s="8"/>
      <c r="B49" s="8"/>
      <c r="C49" s="9"/>
      <c r="D49" s="9"/>
      <c r="E49" s="10"/>
      <c r="F49" s="9"/>
      <c r="G49" s="9"/>
      <c r="H49" s="9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7" t="str">
        <f aca="false">IF(COUNTA(M49:U49)+COUNTA(A49)=0,"",IF(COUNTIF(M49:U49,"N")&gt;0,"⚠ gate/fit miss",IF(AND(V49&lt;&gt;"",V49&lt;&gt;"None"),"⚠ reject flag",IF(COUNTIF(M49:U49,"Y")=9,"✓ strong candidate","fill checks"))))</f>
        <v/>
      </c>
      <c r="X49" s="8"/>
      <c r="Y49" s="8"/>
      <c r="Z49" s="8"/>
      <c r="AA49" s="8"/>
    </row>
    <row r="50" customFormat="false" ht="15" hidden="false" customHeight="false" outlineLevel="0" collapsed="false">
      <c r="A50" s="8"/>
      <c r="B50" s="8"/>
      <c r="C50" s="9"/>
      <c r="D50" s="9"/>
      <c r="E50" s="10"/>
      <c r="F50" s="9"/>
      <c r="G50" s="9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7" t="str">
        <f aca="false">IF(COUNTA(M50:U50)+COUNTA(A50)=0,"",IF(COUNTIF(M50:U50,"N")&gt;0,"⚠ gate/fit miss",IF(AND(V50&lt;&gt;"",V50&lt;&gt;"None"),"⚠ reject flag",IF(COUNTIF(M50:U50,"Y")=9,"✓ strong candidate","fill checks"))))</f>
        <v/>
      </c>
      <c r="X50" s="8"/>
      <c r="Y50" s="8"/>
      <c r="Z50" s="8"/>
      <c r="AA50" s="8"/>
    </row>
    <row r="51" customFormat="false" ht="15" hidden="false" customHeight="false" outlineLevel="0" collapsed="false">
      <c r="A51" s="8"/>
      <c r="B51" s="8"/>
      <c r="C51" s="9"/>
      <c r="D51" s="9"/>
      <c r="E51" s="10"/>
      <c r="F51" s="9"/>
      <c r="G51" s="9"/>
      <c r="H51" s="9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7" t="str">
        <f aca="false">IF(COUNTA(M51:U51)+COUNTA(A51)=0,"",IF(COUNTIF(M51:U51,"N")&gt;0,"⚠ gate/fit miss",IF(AND(V51&lt;&gt;"",V51&lt;&gt;"None"),"⚠ reject flag",IF(COUNTIF(M51:U51,"Y")=9,"✓ strong candidate","fill checks"))))</f>
        <v/>
      </c>
      <c r="X51" s="8"/>
      <c r="Y51" s="8"/>
      <c r="Z51" s="8"/>
      <c r="AA51" s="8"/>
    </row>
    <row r="52" customFormat="false" ht="15" hidden="false" customHeight="false" outlineLevel="0" collapsed="false">
      <c r="A52" s="8"/>
      <c r="B52" s="8"/>
      <c r="C52" s="9"/>
      <c r="D52" s="9"/>
      <c r="E52" s="10"/>
      <c r="F52" s="9"/>
      <c r="G52" s="9"/>
      <c r="H52" s="9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7" t="str">
        <f aca="false">IF(COUNTA(M52:U52)+COUNTA(A52)=0,"",IF(COUNTIF(M52:U52,"N")&gt;0,"⚠ gate/fit miss",IF(AND(V52&lt;&gt;"",V52&lt;&gt;"None"),"⚠ reject flag",IF(COUNTIF(M52:U52,"Y")=9,"✓ strong candidate","fill checks"))))</f>
        <v/>
      </c>
      <c r="X52" s="8"/>
      <c r="Y52" s="8"/>
      <c r="Z52" s="8"/>
      <c r="AA52" s="8"/>
    </row>
    <row r="53" customFormat="false" ht="15" hidden="false" customHeight="false" outlineLevel="0" collapsed="false">
      <c r="A53" s="8"/>
      <c r="B53" s="8"/>
      <c r="C53" s="9"/>
      <c r="D53" s="9"/>
      <c r="E53" s="10"/>
      <c r="F53" s="9"/>
      <c r="G53" s="9"/>
      <c r="H53" s="9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7" t="str">
        <f aca="false">IF(COUNTA(M53:U53)+COUNTA(A53)=0,"",IF(COUNTIF(M53:U53,"N")&gt;0,"⚠ gate/fit miss",IF(AND(V53&lt;&gt;"",V53&lt;&gt;"None"),"⚠ reject flag",IF(COUNTIF(M53:U53,"Y")=9,"✓ strong candidate","fill checks"))))</f>
        <v/>
      </c>
      <c r="X53" s="8"/>
      <c r="Y53" s="8"/>
      <c r="Z53" s="8"/>
      <c r="AA53" s="8"/>
    </row>
    <row r="54" customFormat="false" ht="15" hidden="false" customHeight="false" outlineLevel="0" collapsed="false">
      <c r="A54" s="8"/>
      <c r="B54" s="8"/>
      <c r="C54" s="9"/>
      <c r="D54" s="9"/>
      <c r="E54" s="10"/>
      <c r="F54" s="9"/>
      <c r="G54" s="9"/>
      <c r="H54" s="9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7" t="str">
        <f aca="false">IF(COUNTA(M54:U54)+COUNTA(A54)=0,"",IF(COUNTIF(M54:U54,"N")&gt;0,"⚠ gate/fit miss",IF(AND(V54&lt;&gt;"",V54&lt;&gt;"None"),"⚠ reject flag",IF(COUNTIF(M54:U54,"Y")=9,"✓ strong candidate","fill checks"))))</f>
        <v/>
      </c>
      <c r="X54" s="8"/>
      <c r="Y54" s="8"/>
      <c r="Z54" s="8"/>
      <c r="AA54" s="8"/>
    </row>
    <row r="55" customFormat="false" ht="15" hidden="false" customHeight="false" outlineLevel="0" collapsed="false">
      <c r="A55" s="8"/>
      <c r="B55" s="8"/>
      <c r="C55" s="9"/>
      <c r="D55" s="9"/>
      <c r="E55" s="10"/>
      <c r="F55" s="9"/>
      <c r="G55" s="9"/>
      <c r="H55" s="9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7" t="str">
        <f aca="false">IF(COUNTA(M55:U55)+COUNTA(A55)=0,"",IF(COUNTIF(M55:U55,"N")&gt;0,"⚠ gate/fit miss",IF(AND(V55&lt;&gt;"",V55&lt;&gt;"None"),"⚠ reject flag",IF(COUNTIF(M55:U55,"Y")=9,"✓ strong candidate","fill checks"))))</f>
        <v/>
      </c>
      <c r="X55" s="8"/>
      <c r="Y55" s="8"/>
      <c r="Z55" s="8"/>
      <c r="AA55" s="8"/>
    </row>
    <row r="56" customFormat="false" ht="15" hidden="false" customHeight="false" outlineLevel="0" collapsed="false">
      <c r="A56" s="8"/>
      <c r="B56" s="8"/>
      <c r="C56" s="9"/>
      <c r="D56" s="9"/>
      <c r="E56" s="10"/>
      <c r="F56" s="9"/>
      <c r="G56" s="9"/>
      <c r="H56" s="9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7" t="str">
        <f aca="false">IF(COUNTA(M56:U56)+COUNTA(A56)=0,"",IF(COUNTIF(M56:U56,"N")&gt;0,"⚠ gate/fit miss",IF(AND(V56&lt;&gt;"",V56&lt;&gt;"None"),"⚠ reject flag",IF(COUNTIF(M56:U56,"Y")=9,"✓ strong candidate","fill checks"))))</f>
        <v/>
      </c>
      <c r="X56" s="8"/>
      <c r="Y56" s="8"/>
      <c r="Z56" s="8"/>
      <c r="AA56" s="8"/>
    </row>
    <row r="57" customFormat="false" ht="15" hidden="false" customHeight="false" outlineLevel="0" collapsed="false">
      <c r="A57" s="8"/>
      <c r="B57" s="8"/>
      <c r="C57" s="9"/>
      <c r="D57" s="9"/>
      <c r="E57" s="10"/>
      <c r="F57" s="9"/>
      <c r="G57" s="9"/>
      <c r="H57" s="9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7" t="str">
        <f aca="false">IF(COUNTA(M57:U57)+COUNTA(A57)=0,"",IF(COUNTIF(M57:U57,"N")&gt;0,"⚠ gate/fit miss",IF(AND(V57&lt;&gt;"",V57&lt;&gt;"None"),"⚠ reject flag",IF(COUNTIF(M57:U57,"Y")=9,"✓ strong candidate","fill checks"))))</f>
        <v/>
      </c>
      <c r="X57" s="8"/>
      <c r="Y57" s="8"/>
      <c r="Z57" s="8"/>
      <c r="AA57" s="8"/>
    </row>
    <row r="58" customFormat="false" ht="15" hidden="false" customHeight="false" outlineLevel="0" collapsed="false">
      <c r="A58" s="8"/>
      <c r="B58" s="8"/>
      <c r="C58" s="9"/>
      <c r="D58" s="9"/>
      <c r="E58" s="10"/>
      <c r="F58" s="9"/>
      <c r="G58" s="9"/>
      <c r="H58" s="9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7" t="str">
        <f aca="false">IF(COUNTA(M58:U58)+COUNTA(A58)=0,"",IF(COUNTIF(M58:U58,"N")&gt;0,"⚠ gate/fit miss",IF(AND(V58&lt;&gt;"",V58&lt;&gt;"None"),"⚠ reject flag",IF(COUNTIF(M58:U58,"Y")=9,"✓ strong candidate","fill checks"))))</f>
        <v/>
      </c>
      <c r="X58" s="8"/>
      <c r="Y58" s="8"/>
      <c r="Z58" s="8"/>
      <c r="AA58" s="8"/>
    </row>
    <row r="59" customFormat="false" ht="15" hidden="false" customHeight="false" outlineLevel="0" collapsed="false">
      <c r="A59" s="8"/>
      <c r="B59" s="8"/>
      <c r="C59" s="9"/>
      <c r="D59" s="9"/>
      <c r="E59" s="10"/>
      <c r="F59" s="9"/>
      <c r="G59" s="9"/>
      <c r="H59" s="9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7" t="str">
        <f aca="false">IF(COUNTA(M59:U59)+COUNTA(A59)=0,"",IF(COUNTIF(M59:U59,"N")&gt;0,"⚠ gate/fit miss",IF(AND(V59&lt;&gt;"",V59&lt;&gt;"None"),"⚠ reject flag",IF(COUNTIF(M59:U59,"Y")=9,"✓ strong candidate","fill checks"))))</f>
        <v/>
      </c>
      <c r="X59" s="8"/>
      <c r="Y59" s="8"/>
      <c r="Z59" s="8"/>
      <c r="AA59" s="8"/>
    </row>
    <row r="60" customFormat="false" ht="15" hidden="false" customHeight="false" outlineLevel="0" collapsed="false">
      <c r="A60" s="8"/>
      <c r="B60" s="8"/>
      <c r="C60" s="9"/>
      <c r="D60" s="9"/>
      <c r="E60" s="10"/>
      <c r="F60" s="9"/>
      <c r="G60" s="9"/>
      <c r="H60" s="9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7" t="str">
        <f aca="false">IF(COUNTA(M60:U60)+COUNTA(A60)=0,"",IF(COUNTIF(M60:U60,"N")&gt;0,"⚠ gate/fit miss",IF(AND(V60&lt;&gt;"",V60&lt;&gt;"None"),"⚠ reject flag",IF(COUNTIF(M60:U60,"Y")=9,"✓ strong candidate","fill checks"))))</f>
        <v/>
      </c>
      <c r="X60" s="8"/>
      <c r="Y60" s="8"/>
      <c r="Z60" s="8"/>
      <c r="AA60" s="8"/>
    </row>
    <row r="61" customFormat="false" ht="15" hidden="false" customHeight="false" outlineLevel="0" collapsed="false">
      <c r="A61" s="8"/>
      <c r="B61" s="8"/>
      <c r="C61" s="9"/>
      <c r="D61" s="9"/>
      <c r="E61" s="10"/>
      <c r="F61" s="9"/>
      <c r="G61" s="9"/>
      <c r="H61" s="9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7" t="str">
        <f aca="false">IF(COUNTA(M61:U61)+COUNTA(A61)=0,"",IF(COUNTIF(M61:U61,"N")&gt;0,"⚠ gate/fit miss",IF(AND(V61&lt;&gt;"",V61&lt;&gt;"None"),"⚠ reject flag",IF(COUNTIF(M61:U61,"Y")=9,"✓ strong candidate","fill checks"))))</f>
        <v/>
      </c>
      <c r="X61" s="8"/>
      <c r="Y61" s="8"/>
      <c r="Z61" s="8"/>
      <c r="AA61" s="8"/>
    </row>
    <row r="62" customFormat="false" ht="15" hidden="false" customHeight="false" outlineLevel="0" collapsed="false">
      <c r="A62" s="8"/>
      <c r="B62" s="8"/>
      <c r="C62" s="9"/>
      <c r="D62" s="9"/>
      <c r="E62" s="10"/>
      <c r="F62" s="9"/>
      <c r="G62" s="9"/>
      <c r="H62" s="9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7" t="str">
        <f aca="false">IF(COUNTA(M62:U62)+COUNTA(A62)=0,"",IF(COUNTIF(M62:U62,"N")&gt;0,"⚠ gate/fit miss",IF(AND(V62&lt;&gt;"",V62&lt;&gt;"None"),"⚠ reject flag",IF(COUNTIF(M62:U62,"Y")=9,"✓ strong candidate","fill checks"))))</f>
        <v/>
      </c>
      <c r="X62" s="8"/>
      <c r="Y62" s="8"/>
      <c r="Z62" s="8"/>
      <c r="AA62" s="8"/>
    </row>
    <row r="63" customFormat="false" ht="15" hidden="false" customHeight="false" outlineLevel="0" collapsed="false">
      <c r="A63" s="8"/>
      <c r="B63" s="8"/>
      <c r="C63" s="9"/>
      <c r="D63" s="9"/>
      <c r="E63" s="10"/>
      <c r="F63" s="9"/>
      <c r="G63" s="9"/>
      <c r="H63" s="9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7" t="str">
        <f aca="false">IF(COUNTA(M63:U63)+COUNTA(A63)=0,"",IF(COUNTIF(M63:U63,"N")&gt;0,"⚠ gate/fit miss",IF(AND(V63&lt;&gt;"",V63&lt;&gt;"None"),"⚠ reject flag",IF(COUNTIF(M63:U63,"Y")=9,"✓ strong candidate","fill checks"))))</f>
        <v/>
      </c>
      <c r="X63" s="8"/>
      <c r="Y63" s="8"/>
      <c r="Z63" s="8"/>
      <c r="AA63" s="8"/>
    </row>
    <row r="64" customFormat="false" ht="15" hidden="false" customHeight="false" outlineLevel="0" collapsed="false">
      <c r="A64" s="8"/>
      <c r="B64" s="8"/>
      <c r="C64" s="9"/>
      <c r="D64" s="9"/>
      <c r="E64" s="10"/>
      <c r="F64" s="9"/>
      <c r="G64" s="9"/>
      <c r="H64" s="9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7" t="str">
        <f aca="false">IF(COUNTA(M64:U64)+COUNTA(A64)=0,"",IF(COUNTIF(M64:U64,"N")&gt;0,"⚠ gate/fit miss",IF(AND(V64&lt;&gt;"",V64&lt;&gt;"None"),"⚠ reject flag",IF(COUNTIF(M64:U64,"Y")=9,"✓ strong candidate","fill checks"))))</f>
        <v/>
      </c>
      <c r="X64" s="8"/>
      <c r="Y64" s="8"/>
      <c r="Z64" s="8"/>
      <c r="AA64" s="8"/>
    </row>
    <row r="65" customFormat="false" ht="15" hidden="false" customHeight="false" outlineLevel="0" collapsed="false">
      <c r="A65" s="8"/>
      <c r="B65" s="8"/>
      <c r="C65" s="9"/>
      <c r="D65" s="9"/>
      <c r="E65" s="10"/>
      <c r="F65" s="9"/>
      <c r="G65" s="9"/>
      <c r="H65" s="9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7" t="str">
        <f aca="false">IF(COUNTA(M65:U65)+COUNTA(A65)=0,"",IF(COUNTIF(M65:U65,"N")&gt;0,"⚠ gate/fit miss",IF(AND(V65&lt;&gt;"",V65&lt;&gt;"None"),"⚠ reject flag",IF(COUNTIF(M65:U65,"Y")=9,"✓ strong candidate","fill checks"))))</f>
        <v/>
      </c>
      <c r="X65" s="8"/>
      <c r="Y65" s="8"/>
      <c r="Z65" s="8"/>
      <c r="AA65" s="8"/>
    </row>
    <row r="66" customFormat="false" ht="15" hidden="false" customHeight="false" outlineLevel="0" collapsed="false">
      <c r="A66" s="8"/>
      <c r="B66" s="8"/>
      <c r="C66" s="9"/>
      <c r="D66" s="9"/>
      <c r="E66" s="10"/>
      <c r="F66" s="9"/>
      <c r="G66" s="9"/>
      <c r="H66" s="9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7" t="str">
        <f aca="false">IF(COUNTA(M66:U66)+COUNTA(A66)=0,"",IF(COUNTIF(M66:U66,"N")&gt;0,"⚠ gate/fit miss",IF(AND(V66&lt;&gt;"",V66&lt;&gt;"None"),"⚠ reject flag",IF(COUNTIF(M66:U66,"Y")=9,"✓ strong candidate","fill checks"))))</f>
        <v/>
      </c>
      <c r="X66" s="8"/>
      <c r="Y66" s="8"/>
      <c r="Z66" s="8"/>
      <c r="AA66" s="8"/>
    </row>
    <row r="67" customFormat="false" ht="15" hidden="false" customHeight="false" outlineLevel="0" collapsed="false">
      <c r="A67" s="8"/>
      <c r="B67" s="8"/>
      <c r="C67" s="9"/>
      <c r="D67" s="9"/>
      <c r="E67" s="10"/>
      <c r="F67" s="9"/>
      <c r="G67" s="9"/>
      <c r="H67" s="9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7" t="str">
        <f aca="false">IF(COUNTA(M67:U67)+COUNTA(A67)=0,"",IF(COUNTIF(M67:U67,"N")&gt;0,"⚠ gate/fit miss",IF(AND(V67&lt;&gt;"",V67&lt;&gt;"None"),"⚠ reject flag",IF(COUNTIF(M67:U67,"Y")=9,"✓ strong candidate","fill checks"))))</f>
        <v/>
      </c>
      <c r="X67" s="8"/>
      <c r="Y67" s="8"/>
      <c r="Z67" s="8"/>
      <c r="AA67" s="8"/>
    </row>
    <row r="68" customFormat="false" ht="15" hidden="false" customHeight="false" outlineLevel="0" collapsed="false">
      <c r="A68" s="8"/>
      <c r="B68" s="8"/>
      <c r="C68" s="9"/>
      <c r="D68" s="9"/>
      <c r="E68" s="10"/>
      <c r="F68" s="9"/>
      <c r="G68" s="9"/>
      <c r="H68" s="9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7" t="str">
        <f aca="false">IF(COUNTA(M68:U68)+COUNTA(A68)=0,"",IF(COUNTIF(M68:U68,"N")&gt;0,"⚠ gate/fit miss",IF(AND(V68&lt;&gt;"",V68&lt;&gt;"None"),"⚠ reject flag",IF(COUNTIF(M68:U68,"Y")=9,"✓ strong candidate","fill checks"))))</f>
        <v/>
      </c>
      <c r="X68" s="8"/>
      <c r="Y68" s="8"/>
      <c r="Z68" s="8"/>
      <c r="AA68" s="8"/>
    </row>
    <row r="69" customFormat="false" ht="15" hidden="false" customHeight="false" outlineLevel="0" collapsed="false">
      <c r="A69" s="8"/>
      <c r="B69" s="8"/>
      <c r="C69" s="9"/>
      <c r="D69" s="9"/>
      <c r="E69" s="10"/>
      <c r="F69" s="9"/>
      <c r="G69" s="9"/>
      <c r="H69" s="9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7" t="str">
        <f aca="false">IF(COUNTA(M69:U69)+COUNTA(A69)=0,"",IF(COUNTIF(M69:U69,"N")&gt;0,"⚠ gate/fit miss",IF(AND(V69&lt;&gt;"",V69&lt;&gt;"None"),"⚠ reject flag",IF(COUNTIF(M69:U69,"Y")=9,"✓ strong candidate","fill checks"))))</f>
        <v/>
      </c>
      <c r="X69" s="8"/>
      <c r="Y69" s="8"/>
      <c r="Z69" s="8"/>
      <c r="AA69" s="8"/>
    </row>
    <row r="70" customFormat="false" ht="15" hidden="false" customHeight="false" outlineLevel="0" collapsed="false">
      <c r="A70" s="8"/>
      <c r="B70" s="8"/>
      <c r="C70" s="9"/>
      <c r="D70" s="9"/>
      <c r="E70" s="10"/>
      <c r="F70" s="9"/>
      <c r="G70" s="9"/>
      <c r="H70" s="9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7" t="str">
        <f aca="false">IF(COUNTA(M70:U70)+COUNTA(A70)=0,"",IF(COUNTIF(M70:U70,"N")&gt;0,"⚠ gate/fit miss",IF(AND(V70&lt;&gt;"",V70&lt;&gt;"None"),"⚠ reject flag",IF(COUNTIF(M70:U70,"Y")=9,"✓ strong candidate","fill checks"))))</f>
        <v/>
      </c>
      <c r="X70" s="8"/>
      <c r="Y70" s="8"/>
      <c r="Z70" s="8"/>
      <c r="AA70" s="8"/>
    </row>
    <row r="71" customFormat="false" ht="15" hidden="false" customHeight="false" outlineLevel="0" collapsed="false">
      <c r="A71" s="8"/>
      <c r="B71" s="8"/>
      <c r="C71" s="9"/>
      <c r="D71" s="9"/>
      <c r="E71" s="10"/>
      <c r="F71" s="9"/>
      <c r="G71" s="9"/>
      <c r="H71" s="9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7" t="str">
        <f aca="false">IF(COUNTA(M71:U71)+COUNTA(A71)=0,"",IF(COUNTIF(M71:U71,"N")&gt;0,"⚠ gate/fit miss",IF(AND(V71&lt;&gt;"",V71&lt;&gt;"None"),"⚠ reject flag",IF(COUNTIF(M71:U71,"Y")=9,"✓ strong candidate","fill checks"))))</f>
        <v/>
      </c>
      <c r="X71" s="8"/>
      <c r="Y71" s="8"/>
      <c r="Z71" s="8"/>
      <c r="AA71" s="8"/>
    </row>
    <row r="72" customFormat="false" ht="15" hidden="false" customHeight="false" outlineLevel="0" collapsed="false">
      <c r="A72" s="8"/>
      <c r="B72" s="8"/>
      <c r="C72" s="9"/>
      <c r="D72" s="9"/>
      <c r="E72" s="10"/>
      <c r="F72" s="9"/>
      <c r="G72" s="9"/>
      <c r="H72" s="9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7" t="str">
        <f aca="false">IF(COUNTA(M72:U72)+COUNTA(A72)=0,"",IF(COUNTIF(M72:U72,"N")&gt;0,"⚠ gate/fit miss",IF(AND(V72&lt;&gt;"",V72&lt;&gt;"None"),"⚠ reject flag",IF(COUNTIF(M72:U72,"Y")=9,"✓ strong candidate","fill checks"))))</f>
        <v/>
      </c>
      <c r="X72" s="8"/>
      <c r="Y72" s="8"/>
      <c r="Z72" s="8"/>
      <c r="AA72" s="8"/>
    </row>
    <row r="73" customFormat="false" ht="15" hidden="false" customHeight="false" outlineLevel="0" collapsed="false">
      <c r="A73" s="8"/>
      <c r="B73" s="8"/>
      <c r="C73" s="9"/>
      <c r="D73" s="9"/>
      <c r="E73" s="10"/>
      <c r="F73" s="9"/>
      <c r="G73" s="9"/>
      <c r="H73" s="9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7" t="str">
        <f aca="false">IF(COUNTA(M73:U73)+COUNTA(A73)=0,"",IF(COUNTIF(M73:U73,"N")&gt;0,"⚠ gate/fit miss",IF(AND(V73&lt;&gt;"",V73&lt;&gt;"None"),"⚠ reject flag",IF(COUNTIF(M73:U73,"Y")=9,"✓ strong candidate","fill checks"))))</f>
        <v/>
      </c>
      <c r="X73" s="8"/>
      <c r="Y73" s="8"/>
      <c r="Z73" s="8"/>
      <c r="AA73" s="8"/>
    </row>
    <row r="74" customFormat="false" ht="15" hidden="false" customHeight="false" outlineLevel="0" collapsed="false">
      <c r="A74" s="8"/>
      <c r="B74" s="8"/>
      <c r="C74" s="9"/>
      <c r="D74" s="9"/>
      <c r="E74" s="10"/>
      <c r="F74" s="9"/>
      <c r="G74" s="9"/>
      <c r="H74" s="9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7" t="str">
        <f aca="false">IF(COUNTA(M74:U74)+COUNTA(A74)=0,"",IF(COUNTIF(M74:U74,"N")&gt;0,"⚠ gate/fit miss",IF(AND(V74&lt;&gt;"",V74&lt;&gt;"None"),"⚠ reject flag",IF(COUNTIF(M74:U74,"Y")=9,"✓ strong candidate","fill checks"))))</f>
        <v/>
      </c>
      <c r="X74" s="8"/>
      <c r="Y74" s="8"/>
      <c r="Z74" s="8"/>
      <c r="AA74" s="8"/>
    </row>
    <row r="75" customFormat="false" ht="15" hidden="false" customHeight="false" outlineLevel="0" collapsed="false">
      <c r="A75" s="8"/>
      <c r="B75" s="8"/>
      <c r="C75" s="9"/>
      <c r="D75" s="9"/>
      <c r="E75" s="10"/>
      <c r="F75" s="9"/>
      <c r="G75" s="9"/>
      <c r="H75" s="9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7" t="str">
        <f aca="false">IF(COUNTA(M75:U75)+COUNTA(A75)=0,"",IF(COUNTIF(M75:U75,"N")&gt;0,"⚠ gate/fit miss",IF(AND(V75&lt;&gt;"",V75&lt;&gt;"None"),"⚠ reject flag",IF(COUNTIF(M75:U75,"Y")=9,"✓ strong candidate","fill checks"))))</f>
        <v/>
      </c>
      <c r="X75" s="8"/>
      <c r="Y75" s="8"/>
      <c r="Z75" s="8"/>
      <c r="AA75" s="8"/>
    </row>
    <row r="76" customFormat="false" ht="15" hidden="false" customHeight="false" outlineLevel="0" collapsed="false">
      <c r="A76" s="8"/>
      <c r="B76" s="8"/>
      <c r="C76" s="9"/>
      <c r="D76" s="9"/>
      <c r="E76" s="10"/>
      <c r="F76" s="9"/>
      <c r="G76" s="9"/>
      <c r="H76" s="9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7" t="str">
        <f aca="false">IF(COUNTA(M76:U76)+COUNTA(A76)=0,"",IF(COUNTIF(M76:U76,"N")&gt;0,"⚠ gate/fit miss",IF(AND(V76&lt;&gt;"",V76&lt;&gt;"None"),"⚠ reject flag",IF(COUNTIF(M76:U76,"Y")=9,"✓ strong candidate","fill checks"))))</f>
        <v/>
      </c>
      <c r="X76" s="8"/>
      <c r="Y76" s="8"/>
      <c r="Z76" s="8"/>
      <c r="AA76" s="8"/>
    </row>
    <row r="77" customFormat="false" ht="15" hidden="false" customHeight="false" outlineLevel="0" collapsed="false">
      <c r="A77" s="8"/>
      <c r="B77" s="8"/>
      <c r="C77" s="9"/>
      <c r="D77" s="9"/>
      <c r="E77" s="10"/>
      <c r="F77" s="9"/>
      <c r="G77" s="9"/>
      <c r="H77" s="9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7" t="str">
        <f aca="false">IF(COUNTA(M77:U77)+COUNTA(A77)=0,"",IF(COUNTIF(M77:U77,"N")&gt;0,"⚠ gate/fit miss",IF(AND(V77&lt;&gt;"",V77&lt;&gt;"None"),"⚠ reject flag",IF(COUNTIF(M77:U77,"Y")=9,"✓ strong candidate","fill checks"))))</f>
        <v/>
      </c>
      <c r="X77" s="8"/>
      <c r="Y77" s="8"/>
      <c r="Z77" s="8"/>
      <c r="AA77" s="8"/>
    </row>
    <row r="78" customFormat="false" ht="15" hidden="false" customHeight="false" outlineLevel="0" collapsed="false">
      <c r="A78" s="8"/>
      <c r="B78" s="8"/>
      <c r="C78" s="9"/>
      <c r="D78" s="9"/>
      <c r="E78" s="10"/>
      <c r="F78" s="9"/>
      <c r="G78" s="9"/>
      <c r="H78" s="9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7" t="str">
        <f aca="false">IF(COUNTA(M78:U78)+COUNTA(A78)=0,"",IF(COUNTIF(M78:U78,"N")&gt;0,"⚠ gate/fit miss",IF(AND(V78&lt;&gt;"",V78&lt;&gt;"None"),"⚠ reject flag",IF(COUNTIF(M78:U78,"Y")=9,"✓ strong candidate","fill checks"))))</f>
        <v/>
      </c>
      <c r="X78" s="8"/>
      <c r="Y78" s="8"/>
      <c r="Z78" s="8"/>
      <c r="AA78" s="8"/>
    </row>
    <row r="79" customFormat="false" ht="15" hidden="false" customHeight="false" outlineLevel="0" collapsed="false">
      <c r="A79" s="8"/>
      <c r="B79" s="8"/>
      <c r="C79" s="9"/>
      <c r="D79" s="9"/>
      <c r="E79" s="10"/>
      <c r="F79" s="9"/>
      <c r="G79" s="9"/>
      <c r="H79" s="9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7" t="str">
        <f aca="false">IF(COUNTA(M79:U79)+COUNTA(A79)=0,"",IF(COUNTIF(M79:U79,"N")&gt;0,"⚠ gate/fit miss",IF(AND(V79&lt;&gt;"",V79&lt;&gt;"None"),"⚠ reject flag",IF(COUNTIF(M79:U79,"Y")=9,"✓ strong candidate","fill checks"))))</f>
        <v/>
      </c>
      <c r="X79" s="8"/>
      <c r="Y79" s="8"/>
      <c r="Z79" s="8"/>
      <c r="AA79" s="8"/>
    </row>
    <row r="80" customFormat="false" ht="15" hidden="false" customHeight="false" outlineLevel="0" collapsed="false">
      <c r="A80" s="8"/>
      <c r="B80" s="8"/>
      <c r="C80" s="9"/>
      <c r="D80" s="9"/>
      <c r="E80" s="10"/>
      <c r="F80" s="9"/>
      <c r="G80" s="9"/>
      <c r="H80" s="9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7" t="str">
        <f aca="false">IF(COUNTA(M80:U80)+COUNTA(A80)=0,"",IF(COUNTIF(M80:U80,"N")&gt;0,"⚠ gate/fit miss",IF(AND(V80&lt;&gt;"",V80&lt;&gt;"None"),"⚠ reject flag",IF(COUNTIF(M80:U80,"Y")=9,"✓ strong candidate","fill checks"))))</f>
        <v/>
      </c>
      <c r="X80" s="8"/>
      <c r="Y80" s="8"/>
      <c r="Z80" s="8"/>
      <c r="AA80" s="8"/>
    </row>
    <row r="81" customFormat="false" ht="15" hidden="false" customHeight="false" outlineLevel="0" collapsed="false">
      <c r="A81" s="8"/>
      <c r="B81" s="8"/>
      <c r="C81" s="9"/>
      <c r="D81" s="9"/>
      <c r="E81" s="10"/>
      <c r="F81" s="9"/>
      <c r="G81" s="9"/>
      <c r="H81" s="9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7" t="str">
        <f aca="false">IF(COUNTA(M81:U81)+COUNTA(A81)=0,"",IF(COUNTIF(M81:U81,"N")&gt;0,"⚠ gate/fit miss",IF(AND(V81&lt;&gt;"",V81&lt;&gt;"None"),"⚠ reject flag",IF(COUNTIF(M81:U81,"Y")=9,"✓ strong candidate","fill checks"))))</f>
        <v/>
      </c>
      <c r="X81" s="8"/>
      <c r="Y81" s="8"/>
      <c r="Z81" s="8"/>
      <c r="AA81" s="8"/>
    </row>
    <row r="82" customFormat="false" ht="15" hidden="false" customHeight="false" outlineLevel="0" collapsed="false">
      <c r="A82" s="8"/>
      <c r="B82" s="8"/>
      <c r="C82" s="9"/>
      <c r="D82" s="9"/>
      <c r="E82" s="10"/>
      <c r="F82" s="9"/>
      <c r="G82" s="9"/>
      <c r="H82" s="9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7" t="str">
        <f aca="false">IF(COUNTA(M82:U82)+COUNTA(A82)=0,"",IF(COUNTIF(M82:U82,"N")&gt;0,"⚠ gate/fit miss",IF(AND(V82&lt;&gt;"",V82&lt;&gt;"None"),"⚠ reject flag",IF(COUNTIF(M82:U82,"Y")=9,"✓ strong candidate","fill checks"))))</f>
        <v/>
      </c>
      <c r="X82" s="8"/>
      <c r="Y82" s="8"/>
      <c r="Z82" s="8"/>
      <c r="AA82" s="8"/>
    </row>
    <row r="83" customFormat="false" ht="15" hidden="false" customHeight="false" outlineLevel="0" collapsed="false">
      <c r="A83" s="8"/>
      <c r="B83" s="8"/>
      <c r="C83" s="9"/>
      <c r="D83" s="9"/>
      <c r="E83" s="10"/>
      <c r="F83" s="9"/>
      <c r="G83" s="9"/>
      <c r="H83" s="9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7" t="str">
        <f aca="false">IF(COUNTA(M83:U83)+COUNTA(A83)=0,"",IF(COUNTIF(M83:U83,"N")&gt;0,"⚠ gate/fit miss",IF(AND(V83&lt;&gt;"",V83&lt;&gt;"None"),"⚠ reject flag",IF(COUNTIF(M83:U83,"Y")=9,"✓ strong candidate","fill checks"))))</f>
        <v/>
      </c>
      <c r="X83" s="8"/>
      <c r="Y83" s="8"/>
      <c r="Z83" s="8"/>
      <c r="AA83" s="8"/>
    </row>
    <row r="84" customFormat="false" ht="15" hidden="false" customHeight="false" outlineLevel="0" collapsed="false">
      <c r="A84" s="8"/>
      <c r="B84" s="8"/>
      <c r="C84" s="9"/>
      <c r="D84" s="9"/>
      <c r="E84" s="10"/>
      <c r="F84" s="9"/>
      <c r="G84" s="9"/>
      <c r="H84" s="9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7" t="str">
        <f aca="false">IF(COUNTA(M84:U84)+COUNTA(A84)=0,"",IF(COUNTIF(M84:U84,"N")&gt;0,"⚠ gate/fit miss",IF(AND(V84&lt;&gt;"",V84&lt;&gt;"None"),"⚠ reject flag",IF(COUNTIF(M84:U84,"Y")=9,"✓ strong candidate","fill checks"))))</f>
        <v/>
      </c>
      <c r="X84" s="8"/>
      <c r="Y84" s="8"/>
      <c r="Z84" s="8"/>
      <c r="AA84" s="8"/>
    </row>
    <row r="85" customFormat="false" ht="15" hidden="false" customHeight="false" outlineLevel="0" collapsed="false">
      <c r="A85" s="8"/>
      <c r="B85" s="8"/>
      <c r="C85" s="9"/>
      <c r="D85" s="9"/>
      <c r="E85" s="10"/>
      <c r="F85" s="9"/>
      <c r="G85" s="9"/>
      <c r="H85" s="9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7" t="str">
        <f aca="false">IF(COUNTA(M85:U85)+COUNTA(A85)=0,"",IF(COUNTIF(M85:U85,"N")&gt;0,"⚠ gate/fit miss",IF(AND(V85&lt;&gt;"",V85&lt;&gt;"None"),"⚠ reject flag",IF(COUNTIF(M85:U85,"Y")=9,"✓ strong candidate","fill checks"))))</f>
        <v/>
      </c>
      <c r="X85" s="8"/>
      <c r="Y85" s="8"/>
      <c r="Z85" s="8"/>
      <c r="AA85" s="8"/>
    </row>
    <row r="86" customFormat="false" ht="15" hidden="false" customHeight="false" outlineLevel="0" collapsed="false">
      <c r="A86" s="8"/>
      <c r="B86" s="8"/>
      <c r="C86" s="9"/>
      <c r="D86" s="9"/>
      <c r="E86" s="10"/>
      <c r="F86" s="9"/>
      <c r="G86" s="9"/>
      <c r="H86" s="9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7" t="str">
        <f aca="false">IF(COUNTA(M86:U86)+COUNTA(A86)=0,"",IF(COUNTIF(M86:U86,"N")&gt;0,"⚠ gate/fit miss",IF(AND(V86&lt;&gt;"",V86&lt;&gt;"None"),"⚠ reject flag",IF(COUNTIF(M86:U86,"Y")=9,"✓ strong candidate","fill checks"))))</f>
        <v/>
      </c>
      <c r="X86" s="8"/>
      <c r="Y86" s="8"/>
      <c r="Z86" s="8"/>
      <c r="AA86" s="8"/>
    </row>
    <row r="87" customFormat="false" ht="15" hidden="false" customHeight="false" outlineLevel="0" collapsed="false">
      <c r="A87" s="8"/>
      <c r="B87" s="8"/>
      <c r="C87" s="9"/>
      <c r="D87" s="9"/>
      <c r="E87" s="10"/>
      <c r="F87" s="9"/>
      <c r="G87" s="9"/>
      <c r="H87" s="9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7" t="str">
        <f aca="false">IF(COUNTA(M87:U87)+COUNTA(A87)=0,"",IF(COUNTIF(M87:U87,"N")&gt;0,"⚠ gate/fit miss",IF(AND(V87&lt;&gt;"",V87&lt;&gt;"None"),"⚠ reject flag",IF(COUNTIF(M87:U87,"Y")=9,"✓ strong candidate","fill checks"))))</f>
        <v/>
      </c>
      <c r="X87" s="8"/>
      <c r="Y87" s="8"/>
      <c r="Z87" s="8"/>
      <c r="AA87" s="8"/>
    </row>
    <row r="88" customFormat="false" ht="15" hidden="false" customHeight="false" outlineLevel="0" collapsed="false">
      <c r="A88" s="8"/>
      <c r="B88" s="8"/>
      <c r="C88" s="9"/>
      <c r="D88" s="9"/>
      <c r="E88" s="10"/>
      <c r="F88" s="9"/>
      <c r="G88" s="9"/>
      <c r="H88" s="9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7" t="str">
        <f aca="false">IF(COUNTA(M88:U88)+COUNTA(A88)=0,"",IF(COUNTIF(M88:U88,"N")&gt;0,"⚠ gate/fit miss",IF(AND(V88&lt;&gt;"",V88&lt;&gt;"None"),"⚠ reject flag",IF(COUNTIF(M88:U88,"Y")=9,"✓ strong candidate","fill checks"))))</f>
        <v/>
      </c>
      <c r="X88" s="8"/>
      <c r="Y88" s="8"/>
      <c r="Z88" s="8"/>
      <c r="AA88" s="8"/>
    </row>
    <row r="89" customFormat="false" ht="15" hidden="false" customHeight="false" outlineLevel="0" collapsed="false">
      <c r="A89" s="8"/>
      <c r="B89" s="8"/>
      <c r="C89" s="9"/>
      <c r="D89" s="9"/>
      <c r="E89" s="10"/>
      <c r="F89" s="9"/>
      <c r="G89" s="9"/>
      <c r="H89" s="9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7" t="str">
        <f aca="false">IF(COUNTA(M89:U89)+COUNTA(A89)=0,"",IF(COUNTIF(M89:U89,"N")&gt;0,"⚠ gate/fit miss",IF(AND(V89&lt;&gt;"",V89&lt;&gt;"None"),"⚠ reject flag",IF(COUNTIF(M89:U89,"Y")=9,"✓ strong candidate","fill checks"))))</f>
        <v/>
      </c>
      <c r="X89" s="8"/>
      <c r="Y89" s="8"/>
      <c r="Z89" s="8"/>
      <c r="AA89" s="8"/>
    </row>
    <row r="90" customFormat="false" ht="15" hidden="false" customHeight="false" outlineLevel="0" collapsed="false">
      <c r="A90" s="8"/>
      <c r="B90" s="8"/>
      <c r="C90" s="9"/>
      <c r="D90" s="9"/>
      <c r="E90" s="10"/>
      <c r="F90" s="9"/>
      <c r="G90" s="9"/>
      <c r="H90" s="9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7" t="str">
        <f aca="false">IF(COUNTA(M90:U90)+COUNTA(A90)=0,"",IF(COUNTIF(M90:U90,"N")&gt;0,"⚠ gate/fit miss",IF(AND(V90&lt;&gt;"",V90&lt;&gt;"None"),"⚠ reject flag",IF(COUNTIF(M90:U90,"Y")=9,"✓ strong candidate","fill checks"))))</f>
        <v/>
      </c>
      <c r="X90" s="8"/>
      <c r="Y90" s="8"/>
      <c r="Z90" s="8"/>
      <c r="AA90" s="8"/>
    </row>
    <row r="91" customFormat="false" ht="15" hidden="false" customHeight="false" outlineLevel="0" collapsed="false">
      <c r="A91" s="8"/>
      <c r="B91" s="8"/>
      <c r="C91" s="9"/>
      <c r="D91" s="9"/>
      <c r="E91" s="10"/>
      <c r="F91" s="9"/>
      <c r="G91" s="9"/>
      <c r="H91" s="9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7" t="str">
        <f aca="false">IF(COUNTA(M91:U91)+COUNTA(A91)=0,"",IF(COUNTIF(M91:U91,"N")&gt;0,"⚠ gate/fit miss",IF(AND(V91&lt;&gt;"",V91&lt;&gt;"None"),"⚠ reject flag",IF(COUNTIF(M91:U91,"Y")=9,"✓ strong candidate","fill checks"))))</f>
        <v/>
      </c>
      <c r="X91" s="8"/>
      <c r="Y91" s="8"/>
      <c r="Z91" s="8"/>
      <c r="AA91" s="8"/>
    </row>
    <row r="92" customFormat="false" ht="15" hidden="false" customHeight="false" outlineLevel="0" collapsed="false">
      <c r="A92" s="8"/>
      <c r="B92" s="8"/>
      <c r="C92" s="9"/>
      <c r="D92" s="9"/>
      <c r="E92" s="10"/>
      <c r="F92" s="9"/>
      <c r="G92" s="9"/>
      <c r="H92" s="9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7" t="str">
        <f aca="false">IF(COUNTA(M92:U92)+COUNTA(A92)=0,"",IF(COUNTIF(M92:U92,"N")&gt;0,"⚠ gate/fit miss",IF(AND(V92&lt;&gt;"",V92&lt;&gt;"None"),"⚠ reject flag",IF(COUNTIF(M92:U92,"Y")=9,"✓ strong candidate","fill checks"))))</f>
        <v/>
      </c>
      <c r="X92" s="8"/>
      <c r="Y92" s="8"/>
      <c r="Z92" s="8"/>
      <c r="AA92" s="8"/>
    </row>
    <row r="93" customFormat="false" ht="15" hidden="false" customHeight="false" outlineLevel="0" collapsed="false">
      <c r="A93" s="8"/>
      <c r="B93" s="8"/>
      <c r="C93" s="9"/>
      <c r="D93" s="9"/>
      <c r="E93" s="10"/>
      <c r="F93" s="9"/>
      <c r="G93" s="9"/>
      <c r="H93" s="9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7" t="str">
        <f aca="false">IF(COUNTA(M93:U93)+COUNTA(A93)=0,"",IF(COUNTIF(M93:U93,"N")&gt;0,"⚠ gate/fit miss",IF(AND(V93&lt;&gt;"",V93&lt;&gt;"None"),"⚠ reject flag",IF(COUNTIF(M93:U93,"Y")=9,"✓ strong candidate","fill checks"))))</f>
        <v/>
      </c>
      <c r="X93" s="8"/>
      <c r="Y93" s="8"/>
      <c r="Z93" s="8"/>
      <c r="AA93" s="8"/>
    </row>
    <row r="94" customFormat="false" ht="15" hidden="false" customHeight="false" outlineLevel="0" collapsed="false">
      <c r="A94" s="8"/>
      <c r="B94" s="8"/>
      <c r="C94" s="9"/>
      <c r="D94" s="9"/>
      <c r="E94" s="10"/>
      <c r="F94" s="9"/>
      <c r="G94" s="9"/>
      <c r="H94" s="9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7" t="str">
        <f aca="false">IF(COUNTA(M94:U94)+COUNTA(A94)=0,"",IF(COUNTIF(M94:U94,"N")&gt;0,"⚠ gate/fit miss",IF(AND(V94&lt;&gt;"",V94&lt;&gt;"None"),"⚠ reject flag",IF(COUNTIF(M94:U94,"Y")=9,"✓ strong candidate","fill checks"))))</f>
        <v/>
      </c>
      <c r="X94" s="8"/>
      <c r="Y94" s="8"/>
      <c r="Z94" s="8"/>
      <c r="AA94" s="8"/>
    </row>
    <row r="95" customFormat="false" ht="15" hidden="false" customHeight="false" outlineLevel="0" collapsed="false">
      <c r="A95" s="8"/>
      <c r="B95" s="8"/>
      <c r="C95" s="9"/>
      <c r="D95" s="9"/>
      <c r="E95" s="10"/>
      <c r="F95" s="9"/>
      <c r="G95" s="9"/>
      <c r="H95" s="9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7" t="str">
        <f aca="false">IF(COUNTA(M95:U95)+COUNTA(A95)=0,"",IF(COUNTIF(M95:U95,"N")&gt;0,"⚠ gate/fit miss",IF(AND(V95&lt;&gt;"",V95&lt;&gt;"None"),"⚠ reject flag",IF(COUNTIF(M95:U95,"Y")=9,"✓ strong candidate","fill checks"))))</f>
        <v/>
      </c>
      <c r="X95" s="8"/>
      <c r="Y95" s="8"/>
      <c r="Z95" s="8"/>
      <c r="AA95" s="8"/>
    </row>
    <row r="96" customFormat="false" ht="15" hidden="false" customHeight="false" outlineLevel="0" collapsed="false">
      <c r="A96" s="8"/>
      <c r="B96" s="8"/>
      <c r="C96" s="9"/>
      <c r="D96" s="9"/>
      <c r="E96" s="10"/>
      <c r="F96" s="9"/>
      <c r="G96" s="9"/>
      <c r="H96" s="9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7" t="str">
        <f aca="false">IF(COUNTA(M96:U96)+COUNTA(A96)=0,"",IF(COUNTIF(M96:U96,"N")&gt;0,"⚠ gate/fit miss",IF(AND(V96&lt;&gt;"",V96&lt;&gt;"None"),"⚠ reject flag",IF(COUNTIF(M96:U96,"Y")=9,"✓ strong candidate","fill checks"))))</f>
        <v/>
      </c>
      <c r="X96" s="8"/>
      <c r="Y96" s="8"/>
      <c r="Z96" s="8"/>
      <c r="AA96" s="8"/>
    </row>
    <row r="97" customFormat="false" ht="15" hidden="false" customHeight="false" outlineLevel="0" collapsed="false">
      <c r="A97" s="8"/>
      <c r="B97" s="8"/>
      <c r="C97" s="9"/>
      <c r="D97" s="9"/>
      <c r="E97" s="10"/>
      <c r="F97" s="9"/>
      <c r="G97" s="9"/>
      <c r="H97" s="9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7" t="str">
        <f aca="false">IF(COUNTA(M97:U97)+COUNTA(A97)=0,"",IF(COUNTIF(M97:U97,"N")&gt;0,"⚠ gate/fit miss",IF(AND(V97&lt;&gt;"",V97&lt;&gt;"None"),"⚠ reject flag",IF(COUNTIF(M97:U97,"Y")=9,"✓ strong candidate","fill checks"))))</f>
        <v/>
      </c>
      <c r="X97" s="8"/>
      <c r="Y97" s="8"/>
      <c r="Z97" s="8"/>
      <c r="AA97" s="8"/>
    </row>
    <row r="98" customFormat="false" ht="15" hidden="false" customHeight="false" outlineLevel="0" collapsed="false">
      <c r="A98" s="8"/>
      <c r="B98" s="8"/>
      <c r="C98" s="9"/>
      <c r="D98" s="9"/>
      <c r="E98" s="10"/>
      <c r="F98" s="9"/>
      <c r="G98" s="9"/>
      <c r="H98" s="9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7" t="str">
        <f aca="false">IF(COUNTA(M98:U98)+COUNTA(A98)=0,"",IF(COUNTIF(M98:U98,"N")&gt;0,"⚠ gate/fit miss",IF(AND(V98&lt;&gt;"",V98&lt;&gt;"None"),"⚠ reject flag",IF(COUNTIF(M98:U98,"Y")=9,"✓ strong candidate","fill checks"))))</f>
        <v/>
      </c>
      <c r="X98" s="8"/>
      <c r="Y98" s="8"/>
      <c r="Z98" s="8"/>
      <c r="AA98" s="8"/>
    </row>
    <row r="99" customFormat="false" ht="15" hidden="false" customHeight="false" outlineLevel="0" collapsed="false">
      <c r="A99" s="8"/>
      <c r="B99" s="8"/>
      <c r="C99" s="9"/>
      <c r="D99" s="9"/>
      <c r="E99" s="10"/>
      <c r="F99" s="9"/>
      <c r="G99" s="9"/>
      <c r="H99" s="9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7" t="str">
        <f aca="false">IF(COUNTA(M99:U99)+COUNTA(A99)=0,"",IF(COUNTIF(M99:U99,"N")&gt;0,"⚠ gate/fit miss",IF(AND(V99&lt;&gt;"",V99&lt;&gt;"None"),"⚠ reject flag",IF(COUNTIF(M99:U99,"Y")=9,"✓ strong candidate","fill checks"))))</f>
        <v/>
      </c>
      <c r="X99" s="8"/>
      <c r="Y99" s="8"/>
      <c r="Z99" s="8"/>
      <c r="AA99" s="8"/>
    </row>
    <row r="100" customFormat="false" ht="15" hidden="false" customHeight="false" outlineLevel="0" collapsed="false">
      <c r="A100" s="8"/>
      <c r="B100" s="8"/>
      <c r="C100" s="9"/>
      <c r="D100" s="9"/>
      <c r="E100" s="10"/>
      <c r="F100" s="9"/>
      <c r="G100" s="9"/>
      <c r="H100" s="9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7" t="str">
        <f aca="false">IF(COUNTA(M100:U100)+COUNTA(A100)=0,"",IF(COUNTIF(M100:U100,"N")&gt;0,"⚠ gate/fit miss",IF(AND(V100&lt;&gt;"",V100&lt;&gt;"None"),"⚠ reject flag",IF(COUNTIF(M100:U100,"Y")=9,"✓ strong candidate","fill checks"))))</f>
        <v/>
      </c>
      <c r="X100" s="8"/>
      <c r="Y100" s="8"/>
      <c r="Z100" s="8"/>
      <c r="AA100" s="8"/>
    </row>
    <row r="101" customFormat="false" ht="15" hidden="false" customHeight="false" outlineLevel="0" collapsed="false">
      <c r="A101" s="8"/>
      <c r="B101" s="8"/>
      <c r="C101" s="9"/>
      <c r="D101" s="9"/>
      <c r="E101" s="10"/>
      <c r="F101" s="9"/>
      <c r="G101" s="9"/>
      <c r="H101" s="9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7" t="str">
        <f aca="false">IF(COUNTA(M101:U101)+COUNTA(A101)=0,"",IF(COUNTIF(M101:U101,"N")&gt;0,"⚠ gate/fit miss",IF(AND(V101&lt;&gt;"",V101&lt;&gt;"None"),"⚠ reject flag",IF(COUNTIF(M101:U101,"Y")=9,"✓ strong candidate","fill checks"))))</f>
        <v/>
      </c>
      <c r="X101" s="8"/>
      <c r="Y101" s="8"/>
      <c r="Z101" s="8"/>
      <c r="AA101" s="8"/>
    </row>
    <row r="102" customFormat="false" ht="15" hidden="false" customHeight="false" outlineLevel="0" collapsed="false">
      <c r="A102" s="8"/>
      <c r="B102" s="8"/>
      <c r="C102" s="9"/>
      <c r="D102" s="9"/>
      <c r="E102" s="10"/>
      <c r="F102" s="9"/>
      <c r="G102" s="9"/>
      <c r="H102" s="9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7" t="str">
        <f aca="false">IF(COUNTA(M102:U102)+COUNTA(A102)=0,"",IF(COUNTIF(M102:U102,"N")&gt;0,"⚠ gate/fit miss",IF(AND(V102&lt;&gt;"",V102&lt;&gt;"None"),"⚠ reject flag",IF(COUNTIF(M102:U102,"Y")=9,"✓ strong candidate","fill checks"))))</f>
        <v/>
      </c>
      <c r="X102" s="8"/>
      <c r="Y102" s="8"/>
      <c r="Z102" s="8"/>
      <c r="AA102" s="8"/>
    </row>
    <row r="103" customFormat="false" ht="15" hidden="false" customHeight="false" outlineLevel="0" collapsed="false">
      <c r="A103" s="8"/>
      <c r="B103" s="8"/>
      <c r="C103" s="9"/>
      <c r="D103" s="9"/>
      <c r="E103" s="10"/>
      <c r="F103" s="9"/>
      <c r="G103" s="9"/>
      <c r="H103" s="9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7" t="str">
        <f aca="false">IF(COUNTA(M103:U103)+COUNTA(A103)=0,"",IF(COUNTIF(M103:U103,"N")&gt;0,"⚠ gate/fit miss",IF(AND(V103&lt;&gt;"",V103&lt;&gt;"None"),"⚠ reject flag",IF(COUNTIF(M103:U103,"Y")=9,"✓ strong candidate","fill checks"))))</f>
        <v/>
      </c>
      <c r="X103" s="8"/>
      <c r="Y103" s="8"/>
      <c r="Z103" s="8"/>
      <c r="AA103" s="8"/>
    </row>
    <row r="104" customFormat="false" ht="15" hidden="false" customHeight="false" outlineLevel="0" collapsed="false">
      <c r="A104" s="8"/>
      <c r="B104" s="8"/>
      <c r="C104" s="9"/>
      <c r="D104" s="9"/>
      <c r="E104" s="10"/>
      <c r="F104" s="9"/>
      <c r="G104" s="9"/>
      <c r="H104" s="9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7" t="str">
        <f aca="false">IF(COUNTA(M104:U104)+COUNTA(A104)=0,"",IF(COUNTIF(M104:U104,"N")&gt;0,"⚠ gate/fit miss",IF(AND(V104&lt;&gt;"",V104&lt;&gt;"None"),"⚠ reject flag",IF(COUNTIF(M104:U104,"Y")=9,"✓ strong candidate","fill checks"))))</f>
        <v/>
      </c>
      <c r="X104" s="8"/>
      <c r="Y104" s="8"/>
      <c r="Z104" s="8"/>
      <c r="AA104" s="8"/>
    </row>
    <row r="105" customFormat="false" ht="15" hidden="false" customHeight="false" outlineLevel="0" collapsed="false">
      <c r="A105" s="8"/>
      <c r="B105" s="8"/>
      <c r="C105" s="9"/>
      <c r="D105" s="9"/>
      <c r="E105" s="10"/>
      <c r="F105" s="9"/>
      <c r="G105" s="9"/>
      <c r="H105" s="9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7" t="str">
        <f aca="false">IF(COUNTA(M105:U105)+COUNTA(A105)=0,"",IF(COUNTIF(M105:U105,"N")&gt;0,"⚠ gate/fit miss",IF(AND(V105&lt;&gt;"",V105&lt;&gt;"None"),"⚠ reject flag",IF(COUNTIF(M105:U105,"Y")=9,"✓ strong candidate","fill checks"))))</f>
        <v/>
      </c>
      <c r="X105" s="8"/>
      <c r="Y105" s="8"/>
      <c r="Z105" s="8"/>
      <c r="AA105" s="8"/>
    </row>
    <row r="106" customFormat="false" ht="15" hidden="false" customHeight="false" outlineLevel="0" collapsed="false">
      <c r="A106" s="8"/>
      <c r="B106" s="8"/>
      <c r="C106" s="9"/>
      <c r="D106" s="9"/>
      <c r="E106" s="10"/>
      <c r="F106" s="9"/>
      <c r="G106" s="9"/>
      <c r="H106" s="9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7" t="str">
        <f aca="false">IF(COUNTA(M106:U106)+COUNTA(A106)=0,"",IF(COUNTIF(M106:U106,"N")&gt;0,"⚠ gate/fit miss",IF(AND(V106&lt;&gt;"",V106&lt;&gt;"None"),"⚠ reject flag",IF(COUNTIF(M106:U106,"Y")=9,"✓ strong candidate","fill checks"))))</f>
        <v/>
      </c>
      <c r="X106" s="8"/>
      <c r="Y106" s="8"/>
      <c r="Z106" s="8"/>
      <c r="AA106" s="8"/>
    </row>
    <row r="107" customFormat="false" ht="15" hidden="false" customHeight="false" outlineLevel="0" collapsed="false">
      <c r="A107" s="8"/>
      <c r="B107" s="8"/>
      <c r="C107" s="9"/>
      <c r="D107" s="9"/>
      <c r="E107" s="10"/>
      <c r="F107" s="9"/>
      <c r="G107" s="9"/>
      <c r="H107" s="9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7" t="str">
        <f aca="false">IF(COUNTA(M107:U107)+COUNTA(A107)=0,"",IF(COUNTIF(M107:U107,"N")&gt;0,"⚠ gate/fit miss",IF(AND(V107&lt;&gt;"",V107&lt;&gt;"None"),"⚠ reject flag",IF(COUNTIF(M107:U107,"Y")=9,"✓ strong candidate","fill checks"))))</f>
        <v/>
      </c>
      <c r="X107" s="8"/>
      <c r="Y107" s="8"/>
      <c r="Z107" s="8"/>
      <c r="AA107" s="8"/>
    </row>
    <row r="108" customFormat="false" ht="15" hidden="false" customHeight="false" outlineLevel="0" collapsed="false">
      <c r="A108" s="8"/>
      <c r="B108" s="8"/>
      <c r="C108" s="9"/>
      <c r="D108" s="9"/>
      <c r="E108" s="10"/>
      <c r="F108" s="9"/>
      <c r="G108" s="9"/>
      <c r="H108" s="9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7" t="str">
        <f aca="false">IF(COUNTA(M108:U108)+COUNTA(A108)=0,"",IF(COUNTIF(M108:U108,"N")&gt;0,"⚠ gate/fit miss",IF(AND(V108&lt;&gt;"",V108&lt;&gt;"None"),"⚠ reject flag",IF(COUNTIF(M108:U108,"Y")=9,"✓ strong candidate","fill checks"))))</f>
        <v/>
      </c>
      <c r="X108" s="8"/>
      <c r="Y108" s="8"/>
      <c r="Z108" s="8"/>
      <c r="AA108" s="8"/>
    </row>
    <row r="109" customFormat="false" ht="15" hidden="false" customHeight="false" outlineLevel="0" collapsed="false">
      <c r="A109" s="8"/>
      <c r="B109" s="8"/>
      <c r="C109" s="9"/>
      <c r="D109" s="9"/>
      <c r="E109" s="10"/>
      <c r="F109" s="9"/>
      <c r="G109" s="9"/>
      <c r="H109" s="9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7" t="str">
        <f aca="false">IF(COUNTA(M109:U109)+COUNTA(A109)=0,"",IF(COUNTIF(M109:U109,"N")&gt;0,"⚠ gate/fit miss",IF(AND(V109&lt;&gt;"",V109&lt;&gt;"None"),"⚠ reject flag",IF(COUNTIF(M109:U109,"Y")=9,"✓ strong candidate","fill checks"))))</f>
        <v/>
      </c>
      <c r="X109" s="8"/>
      <c r="Y109" s="8"/>
      <c r="Z109" s="8"/>
      <c r="AA109" s="8"/>
    </row>
    <row r="110" customFormat="false" ht="15" hidden="false" customHeight="false" outlineLevel="0" collapsed="false">
      <c r="A110" s="8"/>
      <c r="B110" s="8"/>
      <c r="C110" s="9"/>
      <c r="D110" s="9"/>
      <c r="E110" s="10"/>
      <c r="F110" s="9"/>
      <c r="G110" s="9"/>
      <c r="H110" s="9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7" t="str">
        <f aca="false">IF(COUNTA(M110:U110)+COUNTA(A110)=0,"",IF(COUNTIF(M110:U110,"N")&gt;0,"⚠ gate/fit miss",IF(AND(V110&lt;&gt;"",V110&lt;&gt;"None"),"⚠ reject flag",IF(COUNTIF(M110:U110,"Y")=9,"✓ strong candidate","fill checks"))))</f>
        <v/>
      </c>
      <c r="X110" s="8"/>
      <c r="Y110" s="8"/>
      <c r="Z110" s="8"/>
      <c r="AA110" s="8"/>
    </row>
    <row r="111" customFormat="false" ht="15" hidden="false" customHeight="false" outlineLevel="0" collapsed="false">
      <c r="A111" s="8"/>
      <c r="B111" s="8"/>
      <c r="C111" s="9"/>
      <c r="D111" s="9"/>
      <c r="E111" s="10"/>
      <c r="F111" s="9"/>
      <c r="G111" s="9"/>
      <c r="H111" s="9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7" t="str">
        <f aca="false">IF(COUNTA(M111:U111)+COUNTA(A111)=0,"",IF(COUNTIF(M111:U111,"N")&gt;0,"⚠ gate/fit miss",IF(AND(V111&lt;&gt;"",V111&lt;&gt;"None"),"⚠ reject flag",IF(COUNTIF(M111:U111,"Y")=9,"✓ strong candidate","fill checks"))))</f>
        <v/>
      </c>
      <c r="X111" s="8"/>
      <c r="Y111" s="8"/>
      <c r="Z111" s="8"/>
      <c r="AA111" s="8"/>
    </row>
    <row r="112" customFormat="false" ht="15" hidden="false" customHeight="false" outlineLevel="0" collapsed="false">
      <c r="A112" s="8"/>
      <c r="B112" s="8"/>
      <c r="C112" s="9"/>
      <c r="D112" s="9"/>
      <c r="E112" s="10"/>
      <c r="F112" s="9"/>
      <c r="G112" s="9"/>
      <c r="H112" s="9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7" t="str">
        <f aca="false">IF(COUNTA(M112:U112)+COUNTA(A112)=0,"",IF(COUNTIF(M112:U112,"N")&gt;0,"⚠ gate/fit miss",IF(AND(V112&lt;&gt;"",V112&lt;&gt;"None"),"⚠ reject flag",IF(COUNTIF(M112:U112,"Y")=9,"✓ strong candidate","fill checks"))))</f>
        <v/>
      </c>
      <c r="X112" s="8"/>
      <c r="Y112" s="8"/>
      <c r="Z112" s="8"/>
      <c r="AA112" s="8"/>
    </row>
    <row r="113" customFormat="false" ht="15" hidden="false" customHeight="false" outlineLevel="0" collapsed="false">
      <c r="A113" s="8"/>
      <c r="B113" s="8"/>
      <c r="C113" s="9"/>
      <c r="D113" s="9"/>
      <c r="E113" s="10"/>
      <c r="F113" s="9"/>
      <c r="G113" s="9"/>
      <c r="H113" s="9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7" t="str">
        <f aca="false">IF(COUNTA(M113:U113)+COUNTA(A113)=0,"",IF(COUNTIF(M113:U113,"N")&gt;0,"⚠ gate/fit miss",IF(AND(V113&lt;&gt;"",V113&lt;&gt;"None"),"⚠ reject flag",IF(COUNTIF(M113:U113,"Y")=9,"✓ strong candidate","fill checks"))))</f>
        <v/>
      </c>
      <c r="X113" s="8"/>
      <c r="Y113" s="8"/>
      <c r="Z113" s="8"/>
      <c r="AA113" s="8"/>
    </row>
    <row r="114" customFormat="false" ht="15" hidden="false" customHeight="false" outlineLevel="0" collapsed="false">
      <c r="A114" s="8"/>
      <c r="B114" s="8"/>
      <c r="C114" s="9"/>
      <c r="D114" s="9"/>
      <c r="E114" s="10"/>
      <c r="F114" s="9"/>
      <c r="G114" s="9"/>
      <c r="H114" s="9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7" t="str">
        <f aca="false">IF(COUNTA(M114:U114)+COUNTA(A114)=0,"",IF(COUNTIF(M114:U114,"N")&gt;0,"⚠ gate/fit miss",IF(AND(V114&lt;&gt;"",V114&lt;&gt;"None"),"⚠ reject flag",IF(COUNTIF(M114:U114,"Y")=9,"✓ strong candidate","fill checks"))))</f>
        <v/>
      </c>
      <c r="X114" s="8"/>
      <c r="Y114" s="8"/>
      <c r="Z114" s="8"/>
      <c r="AA114" s="8"/>
    </row>
    <row r="115" customFormat="false" ht="15" hidden="false" customHeight="false" outlineLevel="0" collapsed="false">
      <c r="A115" s="8"/>
      <c r="B115" s="8"/>
      <c r="C115" s="9"/>
      <c r="D115" s="9"/>
      <c r="E115" s="10"/>
      <c r="F115" s="9"/>
      <c r="G115" s="9"/>
      <c r="H115" s="9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7" t="str">
        <f aca="false">IF(COUNTA(M115:U115)+COUNTA(A115)=0,"",IF(COUNTIF(M115:U115,"N")&gt;0,"⚠ gate/fit miss",IF(AND(V115&lt;&gt;"",V115&lt;&gt;"None"),"⚠ reject flag",IF(COUNTIF(M115:U115,"Y")=9,"✓ strong candidate","fill checks"))))</f>
        <v/>
      </c>
      <c r="X115" s="8"/>
      <c r="Y115" s="8"/>
      <c r="Z115" s="8"/>
      <c r="AA115" s="8"/>
    </row>
    <row r="116" customFormat="false" ht="15" hidden="false" customHeight="false" outlineLevel="0" collapsed="false">
      <c r="A116" s="8"/>
      <c r="B116" s="8"/>
      <c r="C116" s="9"/>
      <c r="D116" s="9"/>
      <c r="E116" s="10"/>
      <c r="F116" s="9"/>
      <c r="G116" s="9"/>
      <c r="H116" s="9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7" t="str">
        <f aca="false">IF(COUNTA(M116:U116)+COUNTA(A116)=0,"",IF(COUNTIF(M116:U116,"N")&gt;0,"⚠ gate/fit miss",IF(AND(V116&lt;&gt;"",V116&lt;&gt;"None"),"⚠ reject flag",IF(COUNTIF(M116:U116,"Y")=9,"✓ strong candidate","fill checks"))))</f>
        <v/>
      </c>
      <c r="X116" s="8"/>
      <c r="Y116" s="8"/>
      <c r="Z116" s="8"/>
      <c r="AA116" s="8"/>
    </row>
    <row r="117" customFormat="false" ht="15" hidden="false" customHeight="false" outlineLevel="0" collapsed="false">
      <c r="A117" s="8"/>
      <c r="B117" s="8"/>
      <c r="C117" s="9"/>
      <c r="D117" s="9"/>
      <c r="E117" s="10"/>
      <c r="F117" s="9"/>
      <c r="G117" s="9"/>
      <c r="H117" s="9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7" t="str">
        <f aca="false">IF(COUNTA(M117:U117)+COUNTA(A117)=0,"",IF(COUNTIF(M117:U117,"N")&gt;0,"⚠ gate/fit miss",IF(AND(V117&lt;&gt;"",V117&lt;&gt;"None"),"⚠ reject flag",IF(COUNTIF(M117:U117,"Y")=9,"✓ strong candidate","fill checks"))))</f>
        <v/>
      </c>
      <c r="X117" s="8"/>
      <c r="Y117" s="8"/>
      <c r="Z117" s="8"/>
      <c r="AA117" s="8"/>
    </row>
    <row r="118" customFormat="false" ht="15" hidden="false" customHeight="false" outlineLevel="0" collapsed="false">
      <c r="A118" s="8"/>
      <c r="B118" s="8"/>
      <c r="C118" s="9"/>
      <c r="D118" s="9"/>
      <c r="E118" s="10"/>
      <c r="F118" s="9"/>
      <c r="G118" s="9"/>
      <c r="H118" s="9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7" t="str">
        <f aca="false">IF(COUNTA(M118:U118)+COUNTA(A118)=0,"",IF(COUNTIF(M118:U118,"N")&gt;0,"⚠ gate/fit miss",IF(AND(V118&lt;&gt;"",V118&lt;&gt;"None"),"⚠ reject flag",IF(COUNTIF(M118:U118,"Y")=9,"✓ strong candidate","fill checks"))))</f>
        <v/>
      </c>
      <c r="X118" s="8"/>
      <c r="Y118" s="8"/>
      <c r="Z118" s="8"/>
      <c r="AA118" s="8"/>
    </row>
    <row r="119" customFormat="false" ht="15" hidden="false" customHeight="false" outlineLevel="0" collapsed="false">
      <c r="A119" s="8"/>
      <c r="B119" s="8"/>
      <c r="C119" s="9"/>
      <c r="D119" s="9"/>
      <c r="E119" s="10"/>
      <c r="F119" s="9"/>
      <c r="G119" s="9"/>
      <c r="H119" s="9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7" t="str">
        <f aca="false">IF(COUNTA(M119:U119)+COUNTA(A119)=0,"",IF(COUNTIF(M119:U119,"N")&gt;0,"⚠ gate/fit miss",IF(AND(V119&lt;&gt;"",V119&lt;&gt;"None"),"⚠ reject flag",IF(COUNTIF(M119:U119,"Y")=9,"✓ strong candidate","fill checks"))))</f>
        <v/>
      </c>
      <c r="X119" s="8"/>
      <c r="Y119" s="8"/>
      <c r="Z119" s="8"/>
      <c r="AA119" s="8"/>
    </row>
    <row r="120" customFormat="false" ht="15" hidden="false" customHeight="false" outlineLevel="0" collapsed="false">
      <c r="A120" s="8"/>
      <c r="B120" s="8"/>
      <c r="C120" s="9"/>
      <c r="D120" s="9"/>
      <c r="E120" s="10"/>
      <c r="F120" s="9"/>
      <c r="G120" s="9"/>
      <c r="H120" s="9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7" t="str">
        <f aca="false">IF(COUNTA(M120:U120)+COUNTA(A120)=0,"",IF(COUNTIF(M120:U120,"N")&gt;0,"⚠ gate/fit miss",IF(AND(V120&lt;&gt;"",V120&lt;&gt;"None"),"⚠ reject flag",IF(COUNTIF(M120:U120,"Y")=9,"✓ strong candidate","fill checks"))))</f>
        <v/>
      </c>
      <c r="X120" s="8"/>
      <c r="Y120" s="8"/>
      <c r="Z120" s="8"/>
      <c r="AA120" s="8"/>
    </row>
    <row r="121" customFormat="false" ht="15" hidden="false" customHeight="false" outlineLevel="0" collapsed="false">
      <c r="A121" s="8"/>
      <c r="B121" s="8"/>
      <c r="C121" s="9"/>
      <c r="D121" s="9"/>
      <c r="E121" s="10"/>
      <c r="F121" s="9"/>
      <c r="G121" s="9"/>
      <c r="H121" s="9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7" t="str">
        <f aca="false">IF(COUNTA(M121:U121)+COUNTA(A121)=0,"",IF(COUNTIF(M121:U121,"N")&gt;0,"⚠ gate/fit miss",IF(AND(V121&lt;&gt;"",V121&lt;&gt;"None"),"⚠ reject flag",IF(COUNTIF(M121:U121,"Y")=9,"✓ strong candidate","fill checks"))))</f>
        <v/>
      </c>
      <c r="X121" s="8"/>
      <c r="Y121" s="8"/>
      <c r="Z121" s="8"/>
      <c r="AA121" s="8"/>
    </row>
    <row r="122" customFormat="false" ht="15" hidden="false" customHeight="false" outlineLevel="0" collapsed="false">
      <c r="A122" s="8"/>
      <c r="B122" s="8"/>
      <c r="C122" s="9"/>
      <c r="D122" s="9"/>
      <c r="E122" s="10"/>
      <c r="F122" s="9"/>
      <c r="G122" s="9"/>
      <c r="H122" s="9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7" t="str">
        <f aca="false">IF(COUNTA(M122:U122)+COUNTA(A122)=0,"",IF(COUNTIF(M122:U122,"N")&gt;0,"⚠ gate/fit miss",IF(AND(V122&lt;&gt;"",V122&lt;&gt;"None"),"⚠ reject flag",IF(COUNTIF(M122:U122,"Y")=9,"✓ strong candidate","fill checks"))))</f>
        <v/>
      </c>
      <c r="X122" s="8"/>
      <c r="Y122" s="8"/>
      <c r="Z122" s="8"/>
      <c r="AA122" s="8"/>
    </row>
    <row r="123" customFormat="false" ht="15" hidden="false" customHeight="false" outlineLevel="0" collapsed="false">
      <c r="A123" s="8"/>
      <c r="B123" s="8"/>
      <c r="C123" s="9"/>
      <c r="D123" s="9"/>
      <c r="E123" s="10"/>
      <c r="F123" s="9"/>
      <c r="G123" s="9"/>
      <c r="H123" s="9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7" t="str">
        <f aca="false">IF(COUNTA(M123:U123)+COUNTA(A123)=0,"",IF(COUNTIF(M123:U123,"N")&gt;0,"⚠ gate/fit miss",IF(AND(V123&lt;&gt;"",V123&lt;&gt;"None"),"⚠ reject flag",IF(COUNTIF(M123:U123,"Y")=9,"✓ strong candidate","fill checks"))))</f>
        <v/>
      </c>
      <c r="X123" s="8"/>
      <c r="Y123" s="8"/>
      <c r="Z123" s="8"/>
      <c r="AA123" s="8"/>
    </row>
    <row r="124" customFormat="false" ht="15" hidden="false" customHeight="false" outlineLevel="0" collapsed="false">
      <c r="A124" s="8"/>
      <c r="B124" s="8"/>
      <c r="C124" s="9"/>
      <c r="D124" s="9"/>
      <c r="E124" s="10"/>
      <c r="F124" s="9"/>
      <c r="G124" s="9"/>
      <c r="H124" s="9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7" t="str">
        <f aca="false">IF(COUNTA(M124:U124)+COUNTA(A124)=0,"",IF(COUNTIF(M124:U124,"N")&gt;0,"⚠ gate/fit miss",IF(AND(V124&lt;&gt;"",V124&lt;&gt;"None"),"⚠ reject flag",IF(COUNTIF(M124:U124,"Y")=9,"✓ strong candidate","fill checks"))))</f>
        <v/>
      </c>
      <c r="X124" s="8"/>
      <c r="Y124" s="8"/>
      <c r="Z124" s="8"/>
      <c r="AA124" s="8"/>
    </row>
    <row r="125" customFormat="false" ht="15" hidden="false" customHeight="false" outlineLevel="0" collapsed="false">
      <c r="A125" s="8"/>
      <c r="B125" s="8"/>
      <c r="C125" s="9"/>
      <c r="D125" s="9"/>
      <c r="E125" s="10"/>
      <c r="F125" s="9"/>
      <c r="G125" s="9"/>
      <c r="H125" s="9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7" t="str">
        <f aca="false">IF(COUNTA(M125:U125)+COUNTA(A125)=0,"",IF(COUNTIF(M125:U125,"N")&gt;0,"⚠ gate/fit miss",IF(AND(V125&lt;&gt;"",V125&lt;&gt;"None"),"⚠ reject flag",IF(COUNTIF(M125:U125,"Y")=9,"✓ strong candidate","fill checks"))))</f>
        <v/>
      </c>
      <c r="X125" s="8"/>
      <c r="Y125" s="8"/>
      <c r="Z125" s="8"/>
      <c r="AA125" s="8"/>
    </row>
    <row r="126" customFormat="false" ht="15" hidden="false" customHeight="false" outlineLevel="0" collapsed="false">
      <c r="A126" s="8"/>
      <c r="B126" s="8"/>
      <c r="C126" s="9"/>
      <c r="D126" s="9"/>
      <c r="E126" s="10"/>
      <c r="F126" s="9"/>
      <c r="G126" s="9"/>
      <c r="H126" s="9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7" t="str">
        <f aca="false">IF(COUNTA(M126:U126)+COUNTA(A126)=0,"",IF(COUNTIF(M126:U126,"N")&gt;0,"⚠ gate/fit miss",IF(AND(V126&lt;&gt;"",V126&lt;&gt;"None"),"⚠ reject flag",IF(COUNTIF(M126:U126,"Y")=9,"✓ strong candidate","fill checks"))))</f>
        <v/>
      </c>
      <c r="X126" s="8"/>
      <c r="Y126" s="8"/>
      <c r="Z126" s="8"/>
      <c r="AA126" s="8"/>
    </row>
    <row r="127" customFormat="false" ht="15" hidden="false" customHeight="false" outlineLevel="0" collapsed="false">
      <c r="A127" s="8"/>
      <c r="B127" s="8"/>
      <c r="C127" s="9"/>
      <c r="D127" s="9"/>
      <c r="E127" s="10"/>
      <c r="F127" s="9"/>
      <c r="G127" s="9"/>
      <c r="H127" s="9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7" t="str">
        <f aca="false">IF(COUNTA(M127:U127)+COUNTA(A127)=0,"",IF(COUNTIF(M127:U127,"N")&gt;0,"⚠ gate/fit miss",IF(AND(V127&lt;&gt;"",V127&lt;&gt;"None"),"⚠ reject flag",IF(COUNTIF(M127:U127,"Y")=9,"✓ strong candidate","fill checks"))))</f>
        <v/>
      </c>
      <c r="X127" s="8"/>
      <c r="Y127" s="8"/>
      <c r="Z127" s="8"/>
      <c r="AA127" s="8"/>
    </row>
    <row r="128" customFormat="false" ht="15" hidden="false" customHeight="false" outlineLevel="0" collapsed="false">
      <c r="A128" s="8"/>
      <c r="B128" s="8"/>
      <c r="C128" s="9"/>
      <c r="D128" s="9"/>
      <c r="E128" s="10"/>
      <c r="F128" s="9"/>
      <c r="G128" s="9"/>
      <c r="H128" s="9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7" t="str">
        <f aca="false">IF(COUNTA(M128:U128)+COUNTA(A128)=0,"",IF(COUNTIF(M128:U128,"N")&gt;0,"⚠ gate/fit miss",IF(AND(V128&lt;&gt;"",V128&lt;&gt;"None"),"⚠ reject flag",IF(COUNTIF(M128:U128,"Y")=9,"✓ strong candidate","fill checks"))))</f>
        <v/>
      </c>
      <c r="X128" s="8"/>
      <c r="Y128" s="8"/>
      <c r="Z128" s="8"/>
      <c r="AA128" s="8"/>
    </row>
    <row r="129" customFormat="false" ht="15" hidden="false" customHeight="false" outlineLevel="0" collapsed="false">
      <c r="A129" s="8"/>
      <c r="B129" s="8"/>
      <c r="C129" s="9"/>
      <c r="D129" s="9"/>
      <c r="E129" s="10"/>
      <c r="F129" s="9"/>
      <c r="G129" s="9"/>
      <c r="H129" s="9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7" t="str">
        <f aca="false">IF(COUNTA(M129:U129)+COUNTA(A129)=0,"",IF(COUNTIF(M129:U129,"N")&gt;0,"⚠ gate/fit miss",IF(AND(V129&lt;&gt;"",V129&lt;&gt;"None"),"⚠ reject flag",IF(COUNTIF(M129:U129,"Y")=9,"✓ strong candidate","fill checks"))))</f>
        <v/>
      </c>
      <c r="X129" s="8"/>
      <c r="Y129" s="8"/>
      <c r="Z129" s="8"/>
      <c r="AA129" s="8"/>
    </row>
    <row r="130" customFormat="false" ht="15" hidden="false" customHeight="false" outlineLevel="0" collapsed="false">
      <c r="A130" s="8"/>
      <c r="B130" s="8"/>
      <c r="C130" s="9"/>
      <c r="D130" s="9"/>
      <c r="E130" s="10"/>
      <c r="F130" s="9"/>
      <c r="G130" s="9"/>
      <c r="H130" s="9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7" t="str">
        <f aca="false">IF(COUNTA(M130:U130)+COUNTA(A130)=0,"",IF(COUNTIF(M130:U130,"N")&gt;0,"⚠ gate/fit miss",IF(AND(V130&lt;&gt;"",V130&lt;&gt;"None"),"⚠ reject flag",IF(COUNTIF(M130:U130,"Y")=9,"✓ strong candidate","fill checks"))))</f>
        <v/>
      </c>
      <c r="X130" s="8"/>
      <c r="Y130" s="8"/>
      <c r="Z130" s="8"/>
      <c r="AA130" s="8"/>
    </row>
    <row r="131" customFormat="false" ht="15" hidden="false" customHeight="false" outlineLevel="0" collapsed="false">
      <c r="A131" s="8"/>
      <c r="B131" s="8"/>
      <c r="C131" s="9"/>
      <c r="D131" s="9"/>
      <c r="E131" s="10"/>
      <c r="F131" s="9"/>
      <c r="G131" s="9"/>
      <c r="H131" s="9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7" t="str">
        <f aca="false">IF(COUNTA(M131:U131)+COUNTA(A131)=0,"",IF(COUNTIF(M131:U131,"N")&gt;0,"⚠ gate/fit miss",IF(AND(V131&lt;&gt;"",V131&lt;&gt;"None"),"⚠ reject flag",IF(COUNTIF(M131:U131,"Y")=9,"✓ strong candidate","fill checks"))))</f>
        <v/>
      </c>
      <c r="X131" s="8"/>
      <c r="Y131" s="8"/>
      <c r="Z131" s="8"/>
      <c r="AA131" s="8"/>
    </row>
    <row r="132" customFormat="false" ht="15" hidden="false" customHeight="false" outlineLevel="0" collapsed="false">
      <c r="A132" s="8"/>
      <c r="B132" s="8"/>
      <c r="C132" s="9"/>
      <c r="D132" s="9"/>
      <c r="E132" s="10"/>
      <c r="F132" s="9"/>
      <c r="G132" s="9"/>
      <c r="H132" s="9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7" t="str">
        <f aca="false">IF(COUNTA(M132:U132)+COUNTA(A132)=0,"",IF(COUNTIF(M132:U132,"N")&gt;0,"⚠ gate/fit miss",IF(AND(V132&lt;&gt;"",V132&lt;&gt;"None"),"⚠ reject flag",IF(COUNTIF(M132:U132,"Y")=9,"✓ strong candidate","fill checks"))))</f>
        <v/>
      </c>
      <c r="X132" s="8"/>
      <c r="Y132" s="8"/>
      <c r="Z132" s="8"/>
      <c r="AA132" s="8"/>
    </row>
    <row r="133" customFormat="false" ht="15" hidden="false" customHeight="false" outlineLevel="0" collapsed="false">
      <c r="A133" s="8"/>
      <c r="B133" s="8"/>
      <c r="C133" s="9"/>
      <c r="D133" s="9"/>
      <c r="E133" s="10"/>
      <c r="F133" s="9"/>
      <c r="G133" s="9"/>
      <c r="H133" s="9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7" t="str">
        <f aca="false">IF(COUNTA(M133:U133)+COUNTA(A133)=0,"",IF(COUNTIF(M133:U133,"N")&gt;0,"⚠ gate/fit miss",IF(AND(V133&lt;&gt;"",V133&lt;&gt;"None"),"⚠ reject flag",IF(COUNTIF(M133:U133,"Y")=9,"✓ strong candidate","fill checks"))))</f>
        <v/>
      </c>
      <c r="X133" s="8"/>
      <c r="Y133" s="8"/>
      <c r="Z133" s="8"/>
      <c r="AA133" s="8"/>
    </row>
    <row r="134" customFormat="false" ht="15" hidden="false" customHeight="false" outlineLevel="0" collapsed="false">
      <c r="A134" s="8"/>
      <c r="B134" s="8"/>
      <c r="C134" s="9"/>
      <c r="D134" s="9"/>
      <c r="E134" s="10"/>
      <c r="F134" s="9"/>
      <c r="G134" s="9"/>
      <c r="H134" s="9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7" t="str">
        <f aca="false">IF(COUNTA(M134:U134)+COUNTA(A134)=0,"",IF(COUNTIF(M134:U134,"N")&gt;0,"⚠ gate/fit miss",IF(AND(V134&lt;&gt;"",V134&lt;&gt;"None"),"⚠ reject flag",IF(COUNTIF(M134:U134,"Y")=9,"✓ strong candidate","fill checks"))))</f>
        <v/>
      </c>
      <c r="X134" s="8"/>
      <c r="Y134" s="8"/>
      <c r="Z134" s="8"/>
      <c r="AA134" s="8"/>
    </row>
    <row r="135" customFormat="false" ht="15" hidden="false" customHeight="false" outlineLevel="0" collapsed="false">
      <c r="A135" s="8"/>
      <c r="B135" s="8"/>
      <c r="C135" s="9"/>
      <c r="D135" s="9"/>
      <c r="E135" s="10"/>
      <c r="F135" s="9"/>
      <c r="G135" s="9"/>
      <c r="H135" s="9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7" t="str">
        <f aca="false">IF(COUNTA(M135:U135)+COUNTA(A135)=0,"",IF(COUNTIF(M135:U135,"N")&gt;0,"⚠ gate/fit miss",IF(AND(V135&lt;&gt;"",V135&lt;&gt;"None"),"⚠ reject flag",IF(COUNTIF(M135:U135,"Y")=9,"✓ strong candidate","fill checks"))))</f>
        <v/>
      </c>
      <c r="X135" s="8"/>
      <c r="Y135" s="8"/>
      <c r="Z135" s="8"/>
      <c r="AA135" s="8"/>
    </row>
    <row r="136" customFormat="false" ht="15" hidden="false" customHeight="false" outlineLevel="0" collapsed="false">
      <c r="A136" s="8"/>
      <c r="B136" s="8"/>
      <c r="C136" s="9"/>
      <c r="D136" s="9"/>
      <c r="E136" s="10"/>
      <c r="F136" s="9"/>
      <c r="G136" s="9"/>
      <c r="H136" s="9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7" t="str">
        <f aca="false">IF(COUNTA(M136:U136)+COUNTA(A136)=0,"",IF(COUNTIF(M136:U136,"N")&gt;0,"⚠ gate/fit miss",IF(AND(V136&lt;&gt;"",V136&lt;&gt;"None"),"⚠ reject flag",IF(COUNTIF(M136:U136,"Y")=9,"✓ strong candidate","fill checks"))))</f>
        <v/>
      </c>
      <c r="X136" s="8"/>
      <c r="Y136" s="8"/>
      <c r="Z136" s="8"/>
      <c r="AA136" s="8"/>
    </row>
    <row r="137" customFormat="false" ht="15" hidden="false" customHeight="false" outlineLevel="0" collapsed="false">
      <c r="A137" s="8"/>
      <c r="B137" s="8"/>
      <c r="C137" s="9"/>
      <c r="D137" s="9"/>
      <c r="E137" s="10"/>
      <c r="F137" s="9"/>
      <c r="G137" s="9"/>
      <c r="H137" s="9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7" t="str">
        <f aca="false">IF(COUNTA(M137:U137)+COUNTA(A137)=0,"",IF(COUNTIF(M137:U137,"N")&gt;0,"⚠ gate/fit miss",IF(AND(V137&lt;&gt;"",V137&lt;&gt;"None"),"⚠ reject flag",IF(COUNTIF(M137:U137,"Y")=9,"✓ strong candidate","fill checks"))))</f>
        <v/>
      </c>
      <c r="X137" s="8"/>
      <c r="Y137" s="8"/>
      <c r="Z137" s="8"/>
      <c r="AA137" s="8"/>
    </row>
    <row r="138" customFormat="false" ht="15" hidden="false" customHeight="false" outlineLevel="0" collapsed="false">
      <c r="A138" s="8"/>
      <c r="B138" s="8"/>
      <c r="C138" s="9"/>
      <c r="D138" s="9"/>
      <c r="E138" s="10"/>
      <c r="F138" s="9"/>
      <c r="G138" s="9"/>
      <c r="H138" s="9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7" t="str">
        <f aca="false">IF(COUNTA(M138:U138)+COUNTA(A138)=0,"",IF(COUNTIF(M138:U138,"N")&gt;0,"⚠ gate/fit miss",IF(AND(V138&lt;&gt;"",V138&lt;&gt;"None"),"⚠ reject flag",IF(COUNTIF(M138:U138,"Y")=9,"✓ strong candidate","fill checks"))))</f>
        <v/>
      </c>
      <c r="X138" s="8"/>
      <c r="Y138" s="8"/>
      <c r="Z138" s="8"/>
      <c r="AA138" s="8"/>
    </row>
    <row r="139" customFormat="false" ht="15" hidden="false" customHeight="false" outlineLevel="0" collapsed="false">
      <c r="A139" s="8"/>
      <c r="B139" s="8"/>
      <c r="C139" s="9"/>
      <c r="D139" s="9"/>
      <c r="E139" s="10"/>
      <c r="F139" s="9"/>
      <c r="G139" s="9"/>
      <c r="H139" s="9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7" t="str">
        <f aca="false">IF(COUNTA(M139:U139)+COUNTA(A139)=0,"",IF(COUNTIF(M139:U139,"N")&gt;0,"⚠ gate/fit miss",IF(AND(V139&lt;&gt;"",V139&lt;&gt;"None"),"⚠ reject flag",IF(COUNTIF(M139:U139,"Y")=9,"✓ strong candidate","fill checks"))))</f>
        <v/>
      </c>
      <c r="X139" s="8"/>
      <c r="Y139" s="8"/>
      <c r="Z139" s="8"/>
      <c r="AA139" s="8"/>
    </row>
    <row r="140" customFormat="false" ht="15" hidden="false" customHeight="false" outlineLevel="0" collapsed="false">
      <c r="A140" s="8"/>
      <c r="B140" s="8"/>
      <c r="C140" s="9"/>
      <c r="D140" s="9"/>
      <c r="E140" s="10"/>
      <c r="F140" s="9"/>
      <c r="G140" s="9"/>
      <c r="H140" s="9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7" t="str">
        <f aca="false">IF(COUNTA(M140:U140)+COUNTA(A140)=0,"",IF(COUNTIF(M140:U140,"N")&gt;0,"⚠ gate/fit miss",IF(AND(V140&lt;&gt;"",V140&lt;&gt;"None"),"⚠ reject flag",IF(COUNTIF(M140:U140,"Y")=9,"✓ strong candidate","fill checks"))))</f>
        <v/>
      </c>
      <c r="X140" s="8"/>
      <c r="Y140" s="8"/>
      <c r="Z140" s="8"/>
      <c r="AA140" s="8"/>
    </row>
    <row r="141" customFormat="false" ht="15" hidden="false" customHeight="false" outlineLevel="0" collapsed="false">
      <c r="A141" s="8"/>
      <c r="B141" s="8"/>
      <c r="C141" s="9"/>
      <c r="D141" s="9"/>
      <c r="E141" s="10"/>
      <c r="F141" s="9"/>
      <c r="G141" s="9"/>
      <c r="H141" s="9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7" t="str">
        <f aca="false">IF(COUNTA(M141:U141)+COUNTA(A141)=0,"",IF(COUNTIF(M141:U141,"N")&gt;0,"⚠ gate/fit miss",IF(AND(V141&lt;&gt;"",V141&lt;&gt;"None"),"⚠ reject flag",IF(COUNTIF(M141:U141,"Y")=9,"✓ strong candidate","fill checks"))))</f>
        <v/>
      </c>
      <c r="X141" s="8"/>
      <c r="Y141" s="8"/>
      <c r="Z141" s="8"/>
      <c r="AA141" s="8"/>
    </row>
    <row r="142" customFormat="false" ht="15" hidden="false" customHeight="false" outlineLevel="0" collapsed="false">
      <c r="A142" s="8"/>
      <c r="B142" s="8"/>
      <c r="C142" s="9"/>
      <c r="D142" s="9"/>
      <c r="E142" s="10"/>
      <c r="F142" s="9"/>
      <c r="G142" s="9"/>
      <c r="H142" s="9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7" t="str">
        <f aca="false">IF(COUNTA(M142:U142)+COUNTA(A142)=0,"",IF(COUNTIF(M142:U142,"N")&gt;0,"⚠ gate/fit miss",IF(AND(V142&lt;&gt;"",V142&lt;&gt;"None"),"⚠ reject flag",IF(COUNTIF(M142:U142,"Y")=9,"✓ strong candidate","fill checks"))))</f>
        <v/>
      </c>
      <c r="X142" s="8"/>
      <c r="Y142" s="8"/>
      <c r="Z142" s="8"/>
      <c r="AA142" s="8"/>
    </row>
    <row r="143" customFormat="false" ht="15" hidden="false" customHeight="false" outlineLevel="0" collapsed="false">
      <c r="A143" s="8"/>
      <c r="B143" s="8"/>
      <c r="C143" s="9"/>
      <c r="D143" s="9"/>
      <c r="E143" s="10"/>
      <c r="F143" s="9"/>
      <c r="G143" s="9"/>
      <c r="H143" s="9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7" t="str">
        <f aca="false">IF(COUNTA(M143:U143)+COUNTA(A143)=0,"",IF(COUNTIF(M143:U143,"N")&gt;0,"⚠ gate/fit miss",IF(AND(V143&lt;&gt;"",V143&lt;&gt;"None"),"⚠ reject flag",IF(COUNTIF(M143:U143,"Y")=9,"✓ strong candidate","fill checks"))))</f>
        <v/>
      </c>
      <c r="X143" s="8"/>
      <c r="Y143" s="8"/>
      <c r="Z143" s="8"/>
      <c r="AA143" s="8"/>
    </row>
    <row r="144" customFormat="false" ht="15" hidden="false" customHeight="false" outlineLevel="0" collapsed="false">
      <c r="A144" s="8"/>
      <c r="B144" s="8"/>
      <c r="C144" s="9"/>
      <c r="D144" s="9"/>
      <c r="E144" s="10"/>
      <c r="F144" s="9"/>
      <c r="G144" s="9"/>
      <c r="H144" s="9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7" t="str">
        <f aca="false">IF(COUNTA(M144:U144)+COUNTA(A144)=0,"",IF(COUNTIF(M144:U144,"N")&gt;0,"⚠ gate/fit miss",IF(AND(V144&lt;&gt;"",V144&lt;&gt;"None"),"⚠ reject flag",IF(COUNTIF(M144:U144,"Y")=9,"✓ strong candidate","fill checks"))))</f>
        <v/>
      </c>
      <c r="X144" s="8"/>
      <c r="Y144" s="8"/>
      <c r="Z144" s="8"/>
      <c r="AA144" s="8"/>
    </row>
    <row r="145" customFormat="false" ht="15" hidden="false" customHeight="false" outlineLevel="0" collapsed="false">
      <c r="A145" s="8"/>
      <c r="B145" s="8"/>
      <c r="C145" s="9"/>
      <c r="D145" s="9"/>
      <c r="E145" s="10"/>
      <c r="F145" s="9"/>
      <c r="G145" s="9"/>
      <c r="H145" s="9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7" t="str">
        <f aca="false">IF(COUNTA(M145:U145)+COUNTA(A145)=0,"",IF(COUNTIF(M145:U145,"N")&gt;0,"⚠ gate/fit miss",IF(AND(V145&lt;&gt;"",V145&lt;&gt;"None"),"⚠ reject flag",IF(COUNTIF(M145:U145,"Y")=9,"✓ strong candidate","fill checks"))))</f>
        <v/>
      </c>
      <c r="X145" s="8"/>
      <c r="Y145" s="8"/>
      <c r="Z145" s="8"/>
      <c r="AA145" s="8"/>
    </row>
    <row r="146" customFormat="false" ht="15" hidden="false" customHeight="false" outlineLevel="0" collapsed="false">
      <c r="A146" s="8"/>
      <c r="B146" s="8"/>
      <c r="C146" s="9"/>
      <c r="D146" s="9"/>
      <c r="E146" s="10"/>
      <c r="F146" s="9"/>
      <c r="G146" s="9"/>
      <c r="H146" s="9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7" t="str">
        <f aca="false">IF(COUNTA(M146:U146)+COUNTA(A146)=0,"",IF(COUNTIF(M146:U146,"N")&gt;0,"⚠ gate/fit miss",IF(AND(V146&lt;&gt;"",V146&lt;&gt;"None"),"⚠ reject flag",IF(COUNTIF(M146:U146,"Y")=9,"✓ strong candidate","fill checks"))))</f>
        <v/>
      </c>
      <c r="X146" s="8"/>
      <c r="Y146" s="8"/>
      <c r="Z146" s="8"/>
      <c r="AA146" s="8"/>
    </row>
    <row r="147" customFormat="false" ht="15" hidden="false" customHeight="false" outlineLevel="0" collapsed="false">
      <c r="A147" s="8"/>
      <c r="B147" s="8"/>
      <c r="C147" s="9"/>
      <c r="D147" s="9"/>
      <c r="E147" s="10"/>
      <c r="F147" s="9"/>
      <c r="G147" s="9"/>
      <c r="H147" s="9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7" t="str">
        <f aca="false">IF(COUNTA(M147:U147)+COUNTA(A147)=0,"",IF(COUNTIF(M147:U147,"N")&gt;0,"⚠ gate/fit miss",IF(AND(V147&lt;&gt;"",V147&lt;&gt;"None"),"⚠ reject flag",IF(COUNTIF(M147:U147,"Y")=9,"✓ strong candidate","fill checks"))))</f>
        <v/>
      </c>
      <c r="X147" s="8"/>
      <c r="Y147" s="8"/>
      <c r="Z147" s="8"/>
      <c r="AA147" s="8"/>
    </row>
    <row r="148" customFormat="false" ht="15" hidden="false" customHeight="false" outlineLevel="0" collapsed="false">
      <c r="A148" s="8"/>
      <c r="B148" s="8"/>
      <c r="C148" s="9"/>
      <c r="D148" s="9"/>
      <c r="E148" s="10"/>
      <c r="F148" s="9"/>
      <c r="G148" s="9"/>
      <c r="H148" s="9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7" t="str">
        <f aca="false">IF(COUNTA(M148:U148)+COUNTA(A148)=0,"",IF(COUNTIF(M148:U148,"N")&gt;0,"⚠ gate/fit miss",IF(AND(V148&lt;&gt;"",V148&lt;&gt;"None"),"⚠ reject flag",IF(COUNTIF(M148:U148,"Y")=9,"✓ strong candidate","fill checks"))))</f>
        <v/>
      </c>
      <c r="X148" s="8"/>
      <c r="Y148" s="8"/>
      <c r="Z148" s="8"/>
      <c r="AA148" s="8"/>
    </row>
    <row r="149" customFormat="false" ht="15" hidden="false" customHeight="false" outlineLevel="0" collapsed="false">
      <c r="A149" s="8"/>
      <c r="B149" s="8"/>
      <c r="C149" s="9"/>
      <c r="D149" s="9"/>
      <c r="E149" s="10"/>
      <c r="F149" s="9"/>
      <c r="G149" s="9"/>
      <c r="H149" s="9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7" t="str">
        <f aca="false">IF(COUNTA(M149:U149)+COUNTA(A149)=0,"",IF(COUNTIF(M149:U149,"N")&gt;0,"⚠ gate/fit miss",IF(AND(V149&lt;&gt;"",V149&lt;&gt;"None"),"⚠ reject flag",IF(COUNTIF(M149:U149,"Y")=9,"✓ strong candidate","fill checks"))))</f>
        <v/>
      </c>
      <c r="X149" s="8"/>
      <c r="Y149" s="8"/>
      <c r="Z149" s="8"/>
      <c r="AA149" s="8"/>
    </row>
    <row r="150" customFormat="false" ht="15" hidden="false" customHeight="false" outlineLevel="0" collapsed="false">
      <c r="A150" s="8"/>
      <c r="B150" s="8"/>
      <c r="C150" s="9"/>
      <c r="D150" s="9"/>
      <c r="E150" s="10"/>
      <c r="F150" s="9"/>
      <c r="G150" s="9"/>
      <c r="H150" s="9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7" t="str">
        <f aca="false">IF(COUNTA(M150:U150)+COUNTA(A150)=0,"",IF(COUNTIF(M150:U150,"N")&gt;0,"⚠ gate/fit miss",IF(AND(V150&lt;&gt;"",V150&lt;&gt;"None"),"⚠ reject flag",IF(COUNTIF(M150:U150,"Y")=9,"✓ strong candidate","fill checks"))))</f>
        <v/>
      </c>
      <c r="X150" s="8"/>
      <c r="Y150" s="8"/>
      <c r="Z150" s="8"/>
      <c r="AA150" s="8"/>
    </row>
    <row r="151" customFormat="false" ht="15" hidden="false" customHeight="false" outlineLevel="0" collapsed="false">
      <c r="A151" s="8"/>
      <c r="B151" s="8"/>
      <c r="C151" s="9"/>
      <c r="D151" s="9"/>
      <c r="E151" s="10"/>
      <c r="F151" s="9"/>
      <c r="G151" s="9"/>
      <c r="H151" s="9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7" t="str">
        <f aca="false">IF(COUNTA(M151:U151)+COUNTA(A151)=0,"",IF(COUNTIF(M151:U151,"N")&gt;0,"⚠ gate/fit miss",IF(AND(V151&lt;&gt;"",V151&lt;&gt;"None"),"⚠ reject flag",IF(COUNTIF(M151:U151,"Y")=9,"✓ strong candidate","fill checks"))))</f>
        <v/>
      </c>
      <c r="X151" s="8"/>
      <c r="Y151" s="8"/>
      <c r="Z151" s="8"/>
      <c r="AA151" s="8"/>
    </row>
    <row r="152" customFormat="false" ht="15" hidden="false" customHeight="false" outlineLevel="0" collapsed="false">
      <c r="A152" s="8"/>
      <c r="B152" s="8"/>
      <c r="C152" s="9"/>
      <c r="D152" s="9"/>
      <c r="E152" s="10"/>
      <c r="F152" s="9"/>
      <c r="G152" s="9"/>
      <c r="H152" s="9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7" t="str">
        <f aca="false">IF(COUNTA(M152:U152)+COUNTA(A152)=0,"",IF(COUNTIF(M152:U152,"N")&gt;0,"⚠ gate/fit miss",IF(AND(V152&lt;&gt;"",V152&lt;&gt;"None"),"⚠ reject flag",IF(COUNTIF(M152:U152,"Y")=9,"✓ strong candidate","fill checks"))))</f>
        <v/>
      </c>
      <c r="X152" s="8"/>
      <c r="Y152" s="8"/>
      <c r="Z152" s="8"/>
      <c r="AA152" s="8"/>
    </row>
    <row r="153" customFormat="false" ht="15" hidden="false" customHeight="false" outlineLevel="0" collapsed="false">
      <c r="A153" s="8"/>
      <c r="B153" s="8"/>
      <c r="C153" s="9"/>
      <c r="D153" s="9"/>
      <c r="E153" s="10"/>
      <c r="F153" s="9"/>
      <c r="G153" s="9"/>
      <c r="H153" s="9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7" t="str">
        <f aca="false">IF(COUNTA(M153:U153)+COUNTA(A153)=0,"",IF(COUNTIF(M153:U153,"N")&gt;0,"⚠ gate/fit miss",IF(AND(V153&lt;&gt;"",V153&lt;&gt;"None"),"⚠ reject flag",IF(COUNTIF(M153:U153,"Y")=9,"✓ strong candidate","fill checks"))))</f>
        <v/>
      </c>
      <c r="X153" s="8"/>
      <c r="Y153" s="8"/>
      <c r="Z153" s="8"/>
      <c r="AA153" s="8"/>
    </row>
    <row r="154" customFormat="false" ht="15" hidden="false" customHeight="false" outlineLevel="0" collapsed="false">
      <c r="A154" s="8"/>
      <c r="B154" s="8"/>
      <c r="C154" s="9"/>
      <c r="D154" s="9"/>
      <c r="E154" s="10"/>
      <c r="F154" s="9"/>
      <c r="G154" s="9"/>
      <c r="H154" s="9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7" t="str">
        <f aca="false">IF(COUNTA(M154:U154)+COUNTA(A154)=0,"",IF(COUNTIF(M154:U154,"N")&gt;0,"⚠ gate/fit miss",IF(AND(V154&lt;&gt;"",V154&lt;&gt;"None"),"⚠ reject flag",IF(COUNTIF(M154:U154,"Y")=9,"✓ strong candidate","fill checks"))))</f>
        <v/>
      </c>
      <c r="X154" s="8"/>
      <c r="Y154" s="8"/>
      <c r="Z154" s="8"/>
      <c r="AA154" s="8"/>
    </row>
    <row r="155" customFormat="false" ht="15" hidden="false" customHeight="false" outlineLevel="0" collapsed="false">
      <c r="A155" s="8"/>
      <c r="B155" s="8"/>
      <c r="C155" s="9"/>
      <c r="D155" s="9"/>
      <c r="E155" s="10"/>
      <c r="F155" s="9"/>
      <c r="G155" s="9"/>
      <c r="H155" s="9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7" t="str">
        <f aca="false">IF(COUNTA(M155:U155)+COUNTA(A155)=0,"",IF(COUNTIF(M155:U155,"N")&gt;0,"⚠ gate/fit miss",IF(AND(V155&lt;&gt;"",V155&lt;&gt;"None"),"⚠ reject flag",IF(COUNTIF(M155:U155,"Y")=9,"✓ strong candidate","fill checks"))))</f>
        <v/>
      </c>
      <c r="X155" s="8"/>
      <c r="Y155" s="8"/>
      <c r="Z155" s="8"/>
      <c r="AA155" s="8"/>
    </row>
    <row r="156" customFormat="false" ht="15" hidden="false" customHeight="false" outlineLevel="0" collapsed="false">
      <c r="A156" s="8"/>
      <c r="B156" s="8"/>
      <c r="C156" s="9"/>
      <c r="D156" s="9"/>
      <c r="E156" s="10"/>
      <c r="F156" s="9"/>
      <c r="G156" s="9"/>
      <c r="H156" s="9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7" t="str">
        <f aca="false">IF(COUNTA(M156:U156)+COUNTA(A156)=0,"",IF(COUNTIF(M156:U156,"N")&gt;0,"⚠ gate/fit miss",IF(AND(V156&lt;&gt;"",V156&lt;&gt;"None"),"⚠ reject flag",IF(COUNTIF(M156:U156,"Y")=9,"✓ strong candidate","fill checks"))))</f>
        <v/>
      </c>
      <c r="X156" s="8"/>
      <c r="Y156" s="8"/>
      <c r="Z156" s="8"/>
      <c r="AA156" s="8"/>
    </row>
    <row r="157" customFormat="false" ht="15" hidden="false" customHeight="false" outlineLevel="0" collapsed="false">
      <c r="A157" s="8"/>
      <c r="B157" s="8"/>
      <c r="C157" s="9"/>
      <c r="D157" s="9"/>
      <c r="E157" s="10"/>
      <c r="F157" s="9"/>
      <c r="G157" s="9"/>
      <c r="H157" s="9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7" t="str">
        <f aca="false">IF(COUNTA(M157:U157)+COUNTA(A157)=0,"",IF(COUNTIF(M157:U157,"N")&gt;0,"⚠ gate/fit miss",IF(AND(V157&lt;&gt;"",V157&lt;&gt;"None"),"⚠ reject flag",IF(COUNTIF(M157:U157,"Y")=9,"✓ strong candidate","fill checks"))))</f>
        <v/>
      </c>
      <c r="X157" s="8"/>
      <c r="Y157" s="8"/>
      <c r="Z157" s="8"/>
      <c r="AA157" s="8"/>
    </row>
    <row r="158" customFormat="false" ht="15" hidden="false" customHeight="false" outlineLevel="0" collapsed="false">
      <c r="A158" s="8"/>
      <c r="B158" s="8"/>
      <c r="C158" s="9"/>
      <c r="D158" s="9"/>
      <c r="E158" s="10"/>
      <c r="F158" s="9"/>
      <c r="G158" s="9"/>
      <c r="H158" s="9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7" t="str">
        <f aca="false">IF(COUNTA(M158:U158)+COUNTA(A158)=0,"",IF(COUNTIF(M158:U158,"N")&gt;0,"⚠ gate/fit miss",IF(AND(V158&lt;&gt;"",V158&lt;&gt;"None"),"⚠ reject flag",IF(COUNTIF(M158:U158,"Y")=9,"✓ strong candidate","fill checks"))))</f>
        <v/>
      </c>
      <c r="X158" s="8"/>
      <c r="Y158" s="8"/>
      <c r="Z158" s="8"/>
      <c r="AA158" s="8"/>
    </row>
    <row r="159" customFormat="false" ht="15" hidden="false" customHeight="false" outlineLevel="0" collapsed="false">
      <c r="A159" s="8"/>
      <c r="B159" s="8"/>
      <c r="C159" s="9"/>
      <c r="D159" s="9"/>
      <c r="E159" s="10"/>
      <c r="F159" s="9"/>
      <c r="G159" s="9"/>
      <c r="H159" s="9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7" t="str">
        <f aca="false">IF(COUNTA(M159:U159)+COUNTA(A159)=0,"",IF(COUNTIF(M159:U159,"N")&gt;0,"⚠ gate/fit miss",IF(AND(V159&lt;&gt;"",V159&lt;&gt;"None"),"⚠ reject flag",IF(COUNTIF(M159:U159,"Y")=9,"✓ strong candidate","fill checks"))))</f>
        <v/>
      </c>
      <c r="X159" s="8"/>
      <c r="Y159" s="8"/>
      <c r="Z159" s="8"/>
      <c r="AA159" s="8"/>
    </row>
    <row r="160" customFormat="false" ht="15" hidden="false" customHeight="false" outlineLevel="0" collapsed="false">
      <c r="A160" s="8"/>
      <c r="B160" s="8"/>
      <c r="C160" s="9"/>
      <c r="D160" s="9"/>
      <c r="E160" s="10"/>
      <c r="F160" s="9"/>
      <c r="G160" s="9"/>
      <c r="H160" s="9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7" t="str">
        <f aca="false">IF(COUNTA(M160:U160)+COUNTA(A160)=0,"",IF(COUNTIF(M160:U160,"N")&gt;0,"⚠ gate/fit miss",IF(AND(V160&lt;&gt;"",V160&lt;&gt;"None"),"⚠ reject flag",IF(COUNTIF(M160:U160,"Y")=9,"✓ strong candidate","fill checks"))))</f>
        <v/>
      </c>
      <c r="X160" s="8"/>
      <c r="Y160" s="8"/>
      <c r="Z160" s="8"/>
      <c r="AA160" s="8"/>
    </row>
    <row r="161" customFormat="false" ht="15" hidden="false" customHeight="false" outlineLevel="0" collapsed="false">
      <c r="A161" s="8"/>
      <c r="B161" s="8"/>
      <c r="C161" s="9"/>
      <c r="D161" s="9"/>
      <c r="E161" s="10"/>
      <c r="F161" s="9"/>
      <c r="G161" s="9"/>
      <c r="H161" s="9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7" t="str">
        <f aca="false">IF(COUNTA(M161:U161)+COUNTA(A161)=0,"",IF(COUNTIF(M161:U161,"N")&gt;0,"⚠ gate/fit miss",IF(AND(V161&lt;&gt;"",V161&lt;&gt;"None"),"⚠ reject flag",IF(COUNTIF(M161:U161,"Y")=9,"✓ strong candidate","fill checks"))))</f>
        <v/>
      </c>
      <c r="X161" s="8"/>
      <c r="Y161" s="8"/>
      <c r="Z161" s="8"/>
      <c r="AA161" s="8"/>
    </row>
    <row r="162" customFormat="false" ht="15" hidden="false" customHeight="false" outlineLevel="0" collapsed="false">
      <c r="A162" s="8"/>
      <c r="B162" s="8"/>
      <c r="C162" s="9"/>
      <c r="D162" s="9"/>
      <c r="E162" s="10"/>
      <c r="F162" s="9"/>
      <c r="G162" s="9"/>
      <c r="H162" s="9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7" t="str">
        <f aca="false">IF(COUNTA(M162:U162)+COUNTA(A162)=0,"",IF(COUNTIF(M162:U162,"N")&gt;0,"⚠ gate/fit miss",IF(AND(V162&lt;&gt;"",V162&lt;&gt;"None"),"⚠ reject flag",IF(COUNTIF(M162:U162,"Y")=9,"✓ strong candidate","fill checks"))))</f>
        <v/>
      </c>
      <c r="X162" s="8"/>
      <c r="Y162" s="8"/>
      <c r="Z162" s="8"/>
      <c r="AA162" s="8"/>
    </row>
    <row r="163" customFormat="false" ht="15" hidden="false" customHeight="false" outlineLevel="0" collapsed="false">
      <c r="A163" s="8"/>
      <c r="B163" s="8"/>
      <c r="C163" s="9"/>
      <c r="D163" s="9"/>
      <c r="E163" s="10"/>
      <c r="F163" s="9"/>
      <c r="G163" s="9"/>
      <c r="H163" s="9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7" t="str">
        <f aca="false">IF(COUNTA(M163:U163)+COUNTA(A163)=0,"",IF(COUNTIF(M163:U163,"N")&gt;0,"⚠ gate/fit miss",IF(AND(V163&lt;&gt;"",V163&lt;&gt;"None"),"⚠ reject flag",IF(COUNTIF(M163:U163,"Y")=9,"✓ strong candidate","fill checks"))))</f>
        <v/>
      </c>
      <c r="X163" s="8"/>
      <c r="Y163" s="8"/>
      <c r="Z163" s="8"/>
      <c r="AA163" s="8"/>
    </row>
    <row r="164" customFormat="false" ht="15" hidden="false" customHeight="false" outlineLevel="0" collapsed="false">
      <c r="A164" s="8"/>
      <c r="B164" s="8"/>
      <c r="C164" s="9"/>
      <c r="D164" s="9"/>
      <c r="E164" s="10"/>
      <c r="F164" s="9"/>
      <c r="G164" s="9"/>
      <c r="H164" s="9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7" t="str">
        <f aca="false">IF(COUNTA(M164:U164)+COUNTA(A164)=0,"",IF(COUNTIF(M164:U164,"N")&gt;0,"⚠ gate/fit miss",IF(AND(V164&lt;&gt;"",V164&lt;&gt;"None"),"⚠ reject flag",IF(COUNTIF(M164:U164,"Y")=9,"✓ strong candidate","fill checks"))))</f>
        <v/>
      </c>
      <c r="X164" s="8"/>
      <c r="Y164" s="8"/>
      <c r="Z164" s="8"/>
      <c r="AA164" s="8"/>
    </row>
    <row r="165" customFormat="false" ht="15" hidden="false" customHeight="false" outlineLevel="0" collapsed="false">
      <c r="A165" s="8"/>
      <c r="B165" s="8"/>
      <c r="C165" s="9"/>
      <c r="D165" s="9"/>
      <c r="E165" s="10"/>
      <c r="F165" s="9"/>
      <c r="G165" s="9"/>
      <c r="H165" s="9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7" t="str">
        <f aca="false">IF(COUNTA(M165:U165)+COUNTA(A165)=0,"",IF(COUNTIF(M165:U165,"N")&gt;0,"⚠ gate/fit miss",IF(AND(V165&lt;&gt;"",V165&lt;&gt;"None"),"⚠ reject flag",IF(COUNTIF(M165:U165,"Y")=9,"✓ strong candidate","fill checks"))))</f>
        <v/>
      </c>
      <c r="X165" s="8"/>
      <c r="Y165" s="8"/>
      <c r="Z165" s="8"/>
      <c r="AA165" s="8"/>
    </row>
    <row r="166" customFormat="false" ht="15" hidden="false" customHeight="false" outlineLevel="0" collapsed="false">
      <c r="A166" s="8"/>
      <c r="B166" s="8"/>
      <c r="C166" s="9"/>
      <c r="D166" s="9"/>
      <c r="E166" s="10"/>
      <c r="F166" s="9"/>
      <c r="G166" s="9"/>
      <c r="H166" s="9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7" t="str">
        <f aca="false">IF(COUNTA(M166:U166)+COUNTA(A166)=0,"",IF(COUNTIF(M166:U166,"N")&gt;0,"⚠ gate/fit miss",IF(AND(V166&lt;&gt;"",V166&lt;&gt;"None"),"⚠ reject flag",IF(COUNTIF(M166:U166,"Y")=9,"✓ strong candidate","fill checks"))))</f>
        <v/>
      </c>
      <c r="X166" s="8"/>
      <c r="Y166" s="8"/>
      <c r="Z166" s="8"/>
      <c r="AA166" s="8"/>
    </row>
    <row r="167" customFormat="false" ht="15" hidden="false" customHeight="false" outlineLevel="0" collapsed="false">
      <c r="A167" s="8"/>
      <c r="B167" s="8"/>
      <c r="C167" s="9"/>
      <c r="D167" s="9"/>
      <c r="E167" s="10"/>
      <c r="F167" s="9"/>
      <c r="G167" s="9"/>
      <c r="H167" s="9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7" t="str">
        <f aca="false">IF(COUNTA(M167:U167)+COUNTA(A167)=0,"",IF(COUNTIF(M167:U167,"N")&gt;0,"⚠ gate/fit miss",IF(AND(V167&lt;&gt;"",V167&lt;&gt;"None"),"⚠ reject flag",IF(COUNTIF(M167:U167,"Y")=9,"✓ strong candidate","fill checks"))))</f>
        <v/>
      </c>
      <c r="X167" s="8"/>
      <c r="Y167" s="8"/>
      <c r="Z167" s="8"/>
      <c r="AA167" s="8"/>
    </row>
    <row r="168" customFormat="false" ht="15" hidden="false" customHeight="false" outlineLevel="0" collapsed="false">
      <c r="A168" s="8"/>
      <c r="B168" s="8"/>
      <c r="C168" s="9"/>
      <c r="D168" s="9"/>
      <c r="E168" s="10"/>
      <c r="F168" s="9"/>
      <c r="G168" s="9"/>
      <c r="H168" s="9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7" t="str">
        <f aca="false">IF(COUNTA(M168:U168)+COUNTA(A168)=0,"",IF(COUNTIF(M168:U168,"N")&gt;0,"⚠ gate/fit miss",IF(AND(V168&lt;&gt;"",V168&lt;&gt;"None"),"⚠ reject flag",IF(COUNTIF(M168:U168,"Y")=9,"✓ strong candidate","fill checks"))))</f>
        <v/>
      </c>
      <c r="X168" s="8"/>
      <c r="Y168" s="8"/>
      <c r="Z168" s="8"/>
      <c r="AA168" s="8"/>
    </row>
    <row r="169" customFormat="false" ht="15" hidden="false" customHeight="false" outlineLevel="0" collapsed="false">
      <c r="A169" s="8"/>
      <c r="B169" s="8"/>
      <c r="C169" s="9"/>
      <c r="D169" s="9"/>
      <c r="E169" s="10"/>
      <c r="F169" s="9"/>
      <c r="G169" s="9"/>
      <c r="H169" s="9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7" t="str">
        <f aca="false">IF(COUNTA(M169:U169)+COUNTA(A169)=0,"",IF(COUNTIF(M169:U169,"N")&gt;0,"⚠ gate/fit miss",IF(AND(V169&lt;&gt;"",V169&lt;&gt;"None"),"⚠ reject flag",IF(COUNTIF(M169:U169,"Y")=9,"✓ strong candidate","fill checks"))))</f>
        <v/>
      </c>
      <c r="X169" s="8"/>
      <c r="Y169" s="8"/>
      <c r="Z169" s="8"/>
      <c r="AA169" s="8"/>
    </row>
    <row r="170" customFormat="false" ht="15" hidden="false" customHeight="false" outlineLevel="0" collapsed="false">
      <c r="A170" s="8"/>
      <c r="B170" s="8"/>
      <c r="C170" s="9"/>
      <c r="D170" s="9"/>
      <c r="E170" s="10"/>
      <c r="F170" s="9"/>
      <c r="G170" s="9"/>
      <c r="H170" s="9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7" t="str">
        <f aca="false">IF(COUNTA(M170:U170)+COUNTA(A170)=0,"",IF(COUNTIF(M170:U170,"N")&gt;0,"⚠ gate/fit miss",IF(AND(V170&lt;&gt;"",V170&lt;&gt;"None"),"⚠ reject flag",IF(COUNTIF(M170:U170,"Y")=9,"✓ strong candidate","fill checks"))))</f>
        <v/>
      </c>
      <c r="X170" s="8"/>
      <c r="Y170" s="8"/>
      <c r="Z170" s="8"/>
      <c r="AA170" s="8"/>
    </row>
    <row r="171" customFormat="false" ht="15" hidden="false" customHeight="false" outlineLevel="0" collapsed="false">
      <c r="A171" s="8"/>
      <c r="B171" s="8"/>
      <c r="C171" s="9"/>
      <c r="D171" s="9"/>
      <c r="E171" s="10"/>
      <c r="F171" s="9"/>
      <c r="G171" s="9"/>
      <c r="H171" s="9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7" t="str">
        <f aca="false">IF(COUNTA(M171:U171)+COUNTA(A171)=0,"",IF(COUNTIF(M171:U171,"N")&gt;0,"⚠ gate/fit miss",IF(AND(V171&lt;&gt;"",V171&lt;&gt;"None"),"⚠ reject flag",IF(COUNTIF(M171:U171,"Y")=9,"✓ strong candidate","fill checks"))))</f>
        <v/>
      </c>
      <c r="X171" s="8"/>
      <c r="Y171" s="8"/>
      <c r="Z171" s="8"/>
      <c r="AA171" s="8"/>
    </row>
    <row r="172" customFormat="false" ht="15" hidden="false" customHeight="false" outlineLevel="0" collapsed="false">
      <c r="A172" s="8"/>
      <c r="B172" s="8"/>
      <c r="C172" s="9"/>
      <c r="D172" s="9"/>
      <c r="E172" s="10"/>
      <c r="F172" s="9"/>
      <c r="G172" s="9"/>
      <c r="H172" s="9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7" t="str">
        <f aca="false">IF(COUNTA(M172:U172)+COUNTA(A172)=0,"",IF(COUNTIF(M172:U172,"N")&gt;0,"⚠ gate/fit miss",IF(AND(V172&lt;&gt;"",V172&lt;&gt;"None"),"⚠ reject flag",IF(COUNTIF(M172:U172,"Y")=9,"✓ strong candidate","fill checks"))))</f>
        <v/>
      </c>
      <c r="X172" s="8"/>
      <c r="Y172" s="8"/>
      <c r="Z172" s="8"/>
      <c r="AA172" s="8"/>
    </row>
    <row r="173" customFormat="false" ht="15" hidden="false" customHeight="false" outlineLevel="0" collapsed="false">
      <c r="A173" s="8"/>
      <c r="B173" s="8"/>
      <c r="C173" s="9"/>
      <c r="D173" s="9"/>
      <c r="E173" s="10"/>
      <c r="F173" s="9"/>
      <c r="G173" s="9"/>
      <c r="H173" s="9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7" t="str">
        <f aca="false">IF(COUNTA(M173:U173)+COUNTA(A173)=0,"",IF(COUNTIF(M173:U173,"N")&gt;0,"⚠ gate/fit miss",IF(AND(V173&lt;&gt;"",V173&lt;&gt;"None"),"⚠ reject flag",IF(COUNTIF(M173:U173,"Y")=9,"✓ strong candidate","fill checks"))))</f>
        <v/>
      </c>
      <c r="X173" s="8"/>
      <c r="Y173" s="8"/>
      <c r="Z173" s="8"/>
      <c r="AA173" s="8"/>
    </row>
    <row r="174" customFormat="false" ht="15" hidden="false" customHeight="false" outlineLevel="0" collapsed="false">
      <c r="A174" s="8"/>
      <c r="B174" s="8"/>
      <c r="C174" s="9"/>
      <c r="D174" s="9"/>
      <c r="E174" s="10"/>
      <c r="F174" s="9"/>
      <c r="G174" s="9"/>
      <c r="H174" s="9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7" t="str">
        <f aca="false">IF(COUNTA(M174:U174)+COUNTA(A174)=0,"",IF(COUNTIF(M174:U174,"N")&gt;0,"⚠ gate/fit miss",IF(AND(V174&lt;&gt;"",V174&lt;&gt;"None"),"⚠ reject flag",IF(COUNTIF(M174:U174,"Y")=9,"✓ strong candidate","fill checks"))))</f>
        <v/>
      </c>
      <c r="X174" s="8"/>
      <c r="Y174" s="8"/>
      <c r="Z174" s="8"/>
      <c r="AA174" s="8"/>
    </row>
    <row r="175" customFormat="false" ht="15" hidden="false" customHeight="false" outlineLevel="0" collapsed="false">
      <c r="A175" s="8"/>
      <c r="B175" s="8"/>
      <c r="C175" s="9"/>
      <c r="D175" s="9"/>
      <c r="E175" s="10"/>
      <c r="F175" s="9"/>
      <c r="G175" s="9"/>
      <c r="H175" s="9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7" t="str">
        <f aca="false">IF(COUNTA(M175:U175)+COUNTA(A175)=0,"",IF(COUNTIF(M175:U175,"N")&gt;0,"⚠ gate/fit miss",IF(AND(V175&lt;&gt;"",V175&lt;&gt;"None"),"⚠ reject flag",IF(COUNTIF(M175:U175,"Y")=9,"✓ strong candidate","fill checks"))))</f>
        <v/>
      </c>
      <c r="X175" s="8"/>
      <c r="Y175" s="8"/>
      <c r="Z175" s="8"/>
      <c r="AA175" s="8"/>
    </row>
    <row r="176" customFormat="false" ht="15" hidden="false" customHeight="false" outlineLevel="0" collapsed="false">
      <c r="A176" s="8"/>
      <c r="B176" s="8"/>
      <c r="C176" s="9"/>
      <c r="D176" s="9"/>
      <c r="E176" s="10"/>
      <c r="F176" s="9"/>
      <c r="G176" s="9"/>
      <c r="H176" s="9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7" t="str">
        <f aca="false">IF(COUNTA(M176:U176)+COUNTA(A176)=0,"",IF(COUNTIF(M176:U176,"N")&gt;0,"⚠ gate/fit miss",IF(AND(V176&lt;&gt;"",V176&lt;&gt;"None"),"⚠ reject flag",IF(COUNTIF(M176:U176,"Y")=9,"✓ strong candidate","fill checks"))))</f>
        <v/>
      </c>
      <c r="X176" s="8"/>
      <c r="Y176" s="8"/>
      <c r="Z176" s="8"/>
      <c r="AA176" s="8"/>
    </row>
    <row r="177" customFormat="false" ht="15" hidden="false" customHeight="false" outlineLevel="0" collapsed="false">
      <c r="A177" s="8"/>
      <c r="B177" s="8"/>
      <c r="C177" s="9"/>
      <c r="D177" s="9"/>
      <c r="E177" s="10"/>
      <c r="F177" s="9"/>
      <c r="G177" s="9"/>
      <c r="H177" s="9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7" t="str">
        <f aca="false">IF(COUNTA(M177:U177)+COUNTA(A177)=0,"",IF(COUNTIF(M177:U177,"N")&gt;0,"⚠ gate/fit miss",IF(AND(V177&lt;&gt;"",V177&lt;&gt;"None"),"⚠ reject flag",IF(COUNTIF(M177:U177,"Y")=9,"✓ strong candidate","fill checks"))))</f>
        <v/>
      </c>
      <c r="X177" s="8"/>
      <c r="Y177" s="8"/>
      <c r="Z177" s="8"/>
      <c r="AA177" s="8"/>
    </row>
    <row r="178" customFormat="false" ht="15" hidden="false" customHeight="false" outlineLevel="0" collapsed="false">
      <c r="A178" s="8"/>
      <c r="B178" s="8"/>
      <c r="C178" s="9"/>
      <c r="D178" s="9"/>
      <c r="E178" s="10"/>
      <c r="F178" s="9"/>
      <c r="G178" s="9"/>
      <c r="H178" s="9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7" t="str">
        <f aca="false">IF(COUNTA(M178:U178)+COUNTA(A178)=0,"",IF(COUNTIF(M178:U178,"N")&gt;0,"⚠ gate/fit miss",IF(AND(V178&lt;&gt;"",V178&lt;&gt;"None"),"⚠ reject flag",IF(COUNTIF(M178:U178,"Y")=9,"✓ strong candidate","fill checks"))))</f>
        <v/>
      </c>
      <c r="X178" s="8"/>
      <c r="Y178" s="8"/>
      <c r="Z178" s="8"/>
      <c r="AA178" s="8"/>
    </row>
    <row r="179" customFormat="false" ht="15" hidden="false" customHeight="false" outlineLevel="0" collapsed="false">
      <c r="A179" s="8"/>
      <c r="B179" s="8"/>
      <c r="C179" s="9"/>
      <c r="D179" s="9"/>
      <c r="E179" s="10"/>
      <c r="F179" s="9"/>
      <c r="G179" s="9"/>
      <c r="H179" s="9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7" t="str">
        <f aca="false">IF(COUNTA(M179:U179)+COUNTA(A179)=0,"",IF(COUNTIF(M179:U179,"N")&gt;0,"⚠ gate/fit miss",IF(AND(V179&lt;&gt;"",V179&lt;&gt;"None"),"⚠ reject flag",IF(COUNTIF(M179:U179,"Y")=9,"✓ strong candidate","fill checks"))))</f>
        <v/>
      </c>
      <c r="X179" s="8"/>
      <c r="Y179" s="8"/>
      <c r="Z179" s="8"/>
      <c r="AA179" s="8"/>
    </row>
    <row r="180" customFormat="false" ht="15" hidden="false" customHeight="false" outlineLevel="0" collapsed="false">
      <c r="A180" s="8"/>
      <c r="B180" s="8"/>
      <c r="C180" s="9"/>
      <c r="D180" s="9"/>
      <c r="E180" s="10"/>
      <c r="F180" s="9"/>
      <c r="G180" s="9"/>
      <c r="H180" s="9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7" t="str">
        <f aca="false">IF(COUNTA(M180:U180)+COUNTA(A180)=0,"",IF(COUNTIF(M180:U180,"N")&gt;0,"⚠ gate/fit miss",IF(AND(V180&lt;&gt;"",V180&lt;&gt;"None"),"⚠ reject flag",IF(COUNTIF(M180:U180,"Y")=9,"✓ strong candidate","fill checks"))))</f>
        <v/>
      </c>
      <c r="X180" s="8"/>
      <c r="Y180" s="8"/>
      <c r="Z180" s="8"/>
      <c r="AA180" s="8"/>
    </row>
    <row r="181" customFormat="false" ht="15" hidden="false" customHeight="false" outlineLevel="0" collapsed="false">
      <c r="A181" s="8"/>
      <c r="B181" s="8"/>
      <c r="C181" s="9"/>
      <c r="D181" s="9"/>
      <c r="E181" s="10"/>
      <c r="F181" s="9"/>
      <c r="G181" s="9"/>
      <c r="H181" s="9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7" t="str">
        <f aca="false">IF(COUNTA(M181:U181)+COUNTA(A181)=0,"",IF(COUNTIF(M181:U181,"N")&gt;0,"⚠ gate/fit miss",IF(AND(V181&lt;&gt;"",V181&lt;&gt;"None"),"⚠ reject flag",IF(COUNTIF(M181:U181,"Y")=9,"✓ strong candidate","fill checks"))))</f>
        <v/>
      </c>
      <c r="X181" s="8"/>
      <c r="Y181" s="8"/>
      <c r="Z181" s="8"/>
      <c r="AA181" s="8"/>
    </row>
    <row r="182" customFormat="false" ht="15" hidden="false" customHeight="false" outlineLevel="0" collapsed="false">
      <c r="A182" s="8"/>
      <c r="B182" s="8"/>
      <c r="C182" s="9"/>
      <c r="D182" s="9"/>
      <c r="E182" s="10"/>
      <c r="F182" s="9"/>
      <c r="G182" s="9"/>
      <c r="H182" s="9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7" t="str">
        <f aca="false">IF(COUNTA(M182:U182)+COUNTA(A182)=0,"",IF(COUNTIF(M182:U182,"N")&gt;0,"⚠ gate/fit miss",IF(AND(V182&lt;&gt;"",V182&lt;&gt;"None"),"⚠ reject flag",IF(COUNTIF(M182:U182,"Y")=9,"✓ strong candidate","fill checks"))))</f>
        <v/>
      </c>
      <c r="X182" s="8"/>
      <c r="Y182" s="8"/>
      <c r="Z182" s="8"/>
      <c r="AA182" s="8"/>
    </row>
    <row r="183" customFormat="false" ht="15" hidden="false" customHeight="false" outlineLevel="0" collapsed="false">
      <c r="A183" s="8"/>
      <c r="B183" s="8"/>
      <c r="C183" s="9"/>
      <c r="D183" s="9"/>
      <c r="E183" s="10"/>
      <c r="F183" s="9"/>
      <c r="G183" s="9"/>
      <c r="H183" s="9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7" t="str">
        <f aca="false">IF(COUNTA(M183:U183)+COUNTA(A183)=0,"",IF(COUNTIF(M183:U183,"N")&gt;0,"⚠ gate/fit miss",IF(AND(V183&lt;&gt;"",V183&lt;&gt;"None"),"⚠ reject flag",IF(COUNTIF(M183:U183,"Y")=9,"✓ strong candidate","fill checks"))))</f>
        <v/>
      </c>
      <c r="X183" s="8"/>
      <c r="Y183" s="8"/>
      <c r="Z183" s="8"/>
      <c r="AA183" s="8"/>
    </row>
    <row r="184" customFormat="false" ht="15" hidden="false" customHeight="false" outlineLevel="0" collapsed="false">
      <c r="A184" s="8"/>
      <c r="B184" s="8"/>
      <c r="C184" s="9"/>
      <c r="D184" s="9"/>
      <c r="E184" s="10"/>
      <c r="F184" s="9"/>
      <c r="G184" s="9"/>
      <c r="H184" s="9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7" t="str">
        <f aca="false">IF(COUNTA(M184:U184)+COUNTA(A184)=0,"",IF(COUNTIF(M184:U184,"N")&gt;0,"⚠ gate/fit miss",IF(AND(V184&lt;&gt;"",V184&lt;&gt;"None"),"⚠ reject flag",IF(COUNTIF(M184:U184,"Y")=9,"✓ strong candidate","fill checks"))))</f>
        <v/>
      </c>
      <c r="X184" s="8"/>
      <c r="Y184" s="8"/>
      <c r="Z184" s="8"/>
      <c r="AA184" s="8"/>
    </row>
    <row r="185" customFormat="false" ht="15" hidden="false" customHeight="false" outlineLevel="0" collapsed="false">
      <c r="A185" s="8"/>
      <c r="B185" s="8"/>
      <c r="C185" s="9"/>
      <c r="D185" s="9"/>
      <c r="E185" s="10"/>
      <c r="F185" s="9"/>
      <c r="G185" s="9"/>
      <c r="H185" s="9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7" t="str">
        <f aca="false">IF(COUNTA(M185:U185)+COUNTA(A185)=0,"",IF(COUNTIF(M185:U185,"N")&gt;0,"⚠ gate/fit miss",IF(AND(V185&lt;&gt;"",V185&lt;&gt;"None"),"⚠ reject flag",IF(COUNTIF(M185:U185,"Y")=9,"✓ strong candidate","fill checks"))))</f>
        <v/>
      </c>
      <c r="X185" s="8"/>
      <c r="Y185" s="8"/>
      <c r="Z185" s="8"/>
      <c r="AA185" s="8"/>
    </row>
    <row r="186" customFormat="false" ht="15" hidden="false" customHeight="false" outlineLevel="0" collapsed="false">
      <c r="A186" s="8"/>
      <c r="B186" s="8"/>
      <c r="C186" s="9"/>
      <c r="D186" s="9"/>
      <c r="E186" s="10"/>
      <c r="F186" s="9"/>
      <c r="G186" s="9"/>
      <c r="H186" s="9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7" t="str">
        <f aca="false">IF(COUNTA(M186:U186)+COUNTA(A186)=0,"",IF(COUNTIF(M186:U186,"N")&gt;0,"⚠ gate/fit miss",IF(AND(V186&lt;&gt;"",V186&lt;&gt;"None"),"⚠ reject flag",IF(COUNTIF(M186:U186,"Y")=9,"✓ strong candidate","fill checks"))))</f>
        <v/>
      </c>
      <c r="X186" s="8"/>
      <c r="Y186" s="8"/>
      <c r="Z186" s="8"/>
      <c r="AA186" s="8"/>
    </row>
    <row r="187" customFormat="false" ht="15" hidden="false" customHeight="false" outlineLevel="0" collapsed="false">
      <c r="A187" s="8"/>
      <c r="B187" s="8"/>
      <c r="C187" s="9"/>
      <c r="D187" s="9"/>
      <c r="E187" s="10"/>
      <c r="F187" s="9"/>
      <c r="G187" s="9"/>
      <c r="H187" s="9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7" t="str">
        <f aca="false">IF(COUNTA(M187:U187)+COUNTA(A187)=0,"",IF(COUNTIF(M187:U187,"N")&gt;0,"⚠ gate/fit miss",IF(AND(V187&lt;&gt;"",V187&lt;&gt;"None"),"⚠ reject flag",IF(COUNTIF(M187:U187,"Y")=9,"✓ strong candidate","fill checks"))))</f>
        <v/>
      </c>
      <c r="X187" s="8"/>
      <c r="Y187" s="8"/>
      <c r="Z187" s="8"/>
      <c r="AA187" s="8"/>
    </row>
    <row r="188" customFormat="false" ht="15" hidden="false" customHeight="false" outlineLevel="0" collapsed="false">
      <c r="A188" s="8"/>
      <c r="B188" s="8"/>
      <c r="C188" s="9"/>
      <c r="D188" s="9"/>
      <c r="E188" s="10"/>
      <c r="F188" s="9"/>
      <c r="G188" s="9"/>
      <c r="H188" s="9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7" t="str">
        <f aca="false">IF(COUNTA(M188:U188)+COUNTA(A188)=0,"",IF(COUNTIF(M188:U188,"N")&gt;0,"⚠ gate/fit miss",IF(AND(V188&lt;&gt;"",V188&lt;&gt;"None"),"⚠ reject flag",IF(COUNTIF(M188:U188,"Y")=9,"✓ strong candidate","fill checks"))))</f>
        <v/>
      </c>
      <c r="X188" s="8"/>
      <c r="Y188" s="8"/>
      <c r="Z188" s="8"/>
      <c r="AA188" s="8"/>
    </row>
    <row r="189" customFormat="false" ht="15" hidden="false" customHeight="false" outlineLevel="0" collapsed="false">
      <c r="A189" s="8"/>
      <c r="B189" s="8"/>
      <c r="C189" s="9"/>
      <c r="D189" s="9"/>
      <c r="E189" s="10"/>
      <c r="F189" s="9"/>
      <c r="G189" s="9"/>
      <c r="H189" s="9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7" t="str">
        <f aca="false">IF(COUNTA(M189:U189)+COUNTA(A189)=0,"",IF(COUNTIF(M189:U189,"N")&gt;0,"⚠ gate/fit miss",IF(AND(V189&lt;&gt;"",V189&lt;&gt;"None"),"⚠ reject flag",IF(COUNTIF(M189:U189,"Y")=9,"✓ strong candidate","fill checks"))))</f>
        <v/>
      </c>
      <c r="X189" s="8"/>
      <c r="Y189" s="8"/>
      <c r="Z189" s="8"/>
      <c r="AA189" s="8"/>
    </row>
    <row r="190" customFormat="false" ht="15" hidden="false" customHeight="false" outlineLevel="0" collapsed="false">
      <c r="A190" s="8"/>
      <c r="B190" s="8"/>
      <c r="C190" s="9"/>
      <c r="D190" s="9"/>
      <c r="E190" s="10"/>
      <c r="F190" s="9"/>
      <c r="G190" s="9"/>
      <c r="H190" s="9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7" t="str">
        <f aca="false">IF(COUNTA(M190:U190)+COUNTA(A190)=0,"",IF(COUNTIF(M190:U190,"N")&gt;0,"⚠ gate/fit miss",IF(AND(V190&lt;&gt;"",V190&lt;&gt;"None"),"⚠ reject flag",IF(COUNTIF(M190:U190,"Y")=9,"✓ strong candidate","fill checks"))))</f>
        <v/>
      </c>
      <c r="X190" s="8"/>
      <c r="Y190" s="8"/>
      <c r="Z190" s="8"/>
      <c r="AA190" s="8"/>
    </row>
    <row r="191" customFormat="false" ht="15" hidden="false" customHeight="false" outlineLevel="0" collapsed="false">
      <c r="A191" s="8"/>
      <c r="B191" s="8"/>
      <c r="C191" s="9"/>
      <c r="D191" s="9"/>
      <c r="E191" s="10"/>
      <c r="F191" s="9"/>
      <c r="G191" s="9"/>
      <c r="H191" s="9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7" t="str">
        <f aca="false">IF(COUNTA(M191:U191)+COUNTA(A191)=0,"",IF(COUNTIF(M191:U191,"N")&gt;0,"⚠ gate/fit miss",IF(AND(V191&lt;&gt;"",V191&lt;&gt;"None"),"⚠ reject flag",IF(COUNTIF(M191:U191,"Y")=9,"✓ strong candidate","fill checks"))))</f>
        <v/>
      </c>
      <c r="X191" s="8"/>
      <c r="Y191" s="8"/>
      <c r="Z191" s="8"/>
      <c r="AA191" s="8"/>
    </row>
    <row r="192" customFormat="false" ht="15" hidden="false" customHeight="false" outlineLevel="0" collapsed="false">
      <c r="A192" s="8"/>
      <c r="B192" s="8"/>
      <c r="C192" s="9"/>
      <c r="D192" s="9"/>
      <c r="E192" s="10"/>
      <c r="F192" s="9"/>
      <c r="G192" s="9"/>
      <c r="H192" s="9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7" t="str">
        <f aca="false">IF(COUNTA(M192:U192)+COUNTA(A192)=0,"",IF(COUNTIF(M192:U192,"N")&gt;0,"⚠ gate/fit miss",IF(AND(V192&lt;&gt;"",V192&lt;&gt;"None"),"⚠ reject flag",IF(COUNTIF(M192:U192,"Y")=9,"✓ strong candidate","fill checks"))))</f>
        <v/>
      </c>
      <c r="X192" s="8"/>
      <c r="Y192" s="8"/>
      <c r="Z192" s="8"/>
      <c r="AA192" s="8"/>
    </row>
    <row r="193" customFormat="false" ht="15" hidden="false" customHeight="false" outlineLevel="0" collapsed="false">
      <c r="A193" s="8"/>
      <c r="B193" s="8"/>
      <c r="C193" s="9"/>
      <c r="D193" s="9"/>
      <c r="E193" s="10"/>
      <c r="F193" s="9"/>
      <c r="G193" s="9"/>
      <c r="H193" s="9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7" t="str">
        <f aca="false">IF(COUNTA(M193:U193)+COUNTA(A193)=0,"",IF(COUNTIF(M193:U193,"N")&gt;0,"⚠ gate/fit miss",IF(AND(V193&lt;&gt;"",V193&lt;&gt;"None"),"⚠ reject flag",IF(COUNTIF(M193:U193,"Y")=9,"✓ strong candidate","fill checks"))))</f>
        <v/>
      </c>
      <c r="X193" s="8"/>
      <c r="Y193" s="8"/>
      <c r="Z193" s="8"/>
      <c r="AA193" s="8"/>
    </row>
    <row r="194" customFormat="false" ht="15" hidden="false" customHeight="false" outlineLevel="0" collapsed="false">
      <c r="A194" s="8"/>
      <c r="B194" s="8"/>
      <c r="C194" s="9"/>
      <c r="D194" s="9"/>
      <c r="E194" s="10"/>
      <c r="F194" s="9"/>
      <c r="G194" s="9"/>
      <c r="H194" s="9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7" t="str">
        <f aca="false">IF(COUNTA(M194:U194)+COUNTA(A194)=0,"",IF(COUNTIF(M194:U194,"N")&gt;0,"⚠ gate/fit miss",IF(AND(V194&lt;&gt;"",V194&lt;&gt;"None"),"⚠ reject flag",IF(COUNTIF(M194:U194,"Y")=9,"✓ strong candidate","fill checks"))))</f>
        <v/>
      </c>
      <c r="X194" s="8"/>
      <c r="Y194" s="8"/>
      <c r="Z194" s="8"/>
      <c r="AA194" s="8"/>
    </row>
    <row r="195" customFormat="false" ht="15" hidden="false" customHeight="false" outlineLevel="0" collapsed="false">
      <c r="A195" s="8"/>
      <c r="B195" s="8"/>
      <c r="C195" s="9"/>
      <c r="D195" s="9"/>
      <c r="E195" s="10"/>
      <c r="F195" s="9"/>
      <c r="G195" s="9"/>
      <c r="H195" s="9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7" t="str">
        <f aca="false">IF(COUNTA(M195:U195)+COUNTA(A195)=0,"",IF(COUNTIF(M195:U195,"N")&gt;0,"⚠ gate/fit miss",IF(AND(V195&lt;&gt;"",V195&lt;&gt;"None"),"⚠ reject flag",IF(COUNTIF(M195:U195,"Y")=9,"✓ strong candidate","fill checks"))))</f>
        <v/>
      </c>
      <c r="X195" s="8"/>
      <c r="Y195" s="8"/>
      <c r="Z195" s="8"/>
      <c r="AA195" s="8"/>
    </row>
    <row r="196" customFormat="false" ht="15" hidden="false" customHeight="false" outlineLevel="0" collapsed="false">
      <c r="A196" s="8"/>
      <c r="B196" s="8"/>
      <c r="C196" s="9"/>
      <c r="D196" s="9"/>
      <c r="E196" s="10"/>
      <c r="F196" s="9"/>
      <c r="G196" s="9"/>
      <c r="H196" s="9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7" t="str">
        <f aca="false">IF(COUNTA(M196:U196)+COUNTA(A196)=0,"",IF(COUNTIF(M196:U196,"N")&gt;0,"⚠ gate/fit miss",IF(AND(V196&lt;&gt;"",V196&lt;&gt;"None"),"⚠ reject flag",IF(COUNTIF(M196:U196,"Y")=9,"✓ strong candidate","fill checks"))))</f>
        <v/>
      </c>
      <c r="X196" s="8"/>
      <c r="Y196" s="8"/>
      <c r="Z196" s="8"/>
      <c r="AA196" s="8"/>
    </row>
    <row r="197" customFormat="false" ht="15" hidden="false" customHeight="false" outlineLevel="0" collapsed="false">
      <c r="A197" s="8"/>
      <c r="B197" s="8"/>
      <c r="C197" s="9"/>
      <c r="D197" s="9"/>
      <c r="E197" s="10"/>
      <c r="F197" s="9"/>
      <c r="G197" s="9"/>
      <c r="H197" s="9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7" t="str">
        <f aca="false">IF(COUNTA(M197:U197)+COUNTA(A197)=0,"",IF(COUNTIF(M197:U197,"N")&gt;0,"⚠ gate/fit miss",IF(AND(V197&lt;&gt;"",V197&lt;&gt;"None"),"⚠ reject flag",IF(COUNTIF(M197:U197,"Y")=9,"✓ strong candidate","fill checks"))))</f>
        <v/>
      </c>
      <c r="X197" s="8"/>
      <c r="Y197" s="8"/>
      <c r="Z197" s="8"/>
      <c r="AA197" s="8"/>
    </row>
    <row r="198" customFormat="false" ht="15" hidden="false" customHeight="false" outlineLevel="0" collapsed="false">
      <c r="A198" s="8"/>
      <c r="B198" s="8"/>
      <c r="C198" s="9"/>
      <c r="D198" s="9"/>
      <c r="E198" s="10"/>
      <c r="F198" s="9"/>
      <c r="G198" s="9"/>
      <c r="H198" s="9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7" t="str">
        <f aca="false">IF(COUNTA(M198:U198)+COUNTA(A198)=0,"",IF(COUNTIF(M198:U198,"N")&gt;0,"⚠ gate/fit miss",IF(AND(V198&lt;&gt;"",V198&lt;&gt;"None"),"⚠ reject flag",IF(COUNTIF(M198:U198,"Y")=9,"✓ strong candidate","fill checks"))))</f>
        <v/>
      </c>
      <c r="X198" s="8"/>
      <c r="Y198" s="8"/>
      <c r="Z198" s="8"/>
      <c r="AA198" s="8"/>
    </row>
    <row r="199" customFormat="false" ht="15" hidden="false" customHeight="false" outlineLevel="0" collapsed="false">
      <c r="A199" s="8"/>
      <c r="B199" s="8"/>
      <c r="C199" s="9"/>
      <c r="D199" s="9"/>
      <c r="E199" s="10"/>
      <c r="F199" s="9"/>
      <c r="G199" s="9"/>
      <c r="H199" s="9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7" t="str">
        <f aca="false">IF(COUNTA(M199:U199)+COUNTA(A199)=0,"",IF(COUNTIF(M199:U199,"N")&gt;0,"⚠ gate/fit miss",IF(AND(V199&lt;&gt;"",V199&lt;&gt;"None"),"⚠ reject flag",IF(COUNTIF(M199:U199,"Y")=9,"✓ strong candidate","fill checks"))))</f>
        <v/>
      </c>
      <c r="X199" s="8"/>
      <c r="Y199" s="8"/>
      <c r="Z199" s="8"/>
      <c r="AA199" s="8"/>
    </row>
    <row r="200" customFormat="false" ht="15" hidden="false" customHeight="false" outlineLevel="0" collapsed="false">
      <c r="A200" s="8"/>
      <c r="B200" s="8"/>
      <c r="C200" s="9"/>
      <c r="D200" s="9"/>
      <c r="E200" s="10"/>
      <c r="F200" s="9"/>
      <c r="G200" s="9"/>
      <c r="H200" s="9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7" t="str">
        <f aca="false">IF(COUNTA(M200:U200)+COUNTA(A200)=0,"",IF(COUNTIF(M200:U200,"N")&gt;0,"⚠ gate/fit miss",IF(AND(V200&lt;&gt;"",V200&lt;&gt;"None"),"⚠ reject flag",IF(COUNTIF(M200:U200,"Y")=9,"✓ strong candidate","fill checks"))))</f>
        <v/>
      </c>
      <c r="X200" s="8"/>
      <c r="Y200" s="8"/>
      <c r="Z200" s="8"/>
      <c r="AA200" s="8"/>
    </row>
  </sheetData>
  <mergeCells count="1">
    <mergeCell ref="A2:L2"/>
  </mergeCells>
  <conditionalFormatting sqref="W5:W200">
    <cfRule type="expression" priority="2" aboveAverage="0" equalAverage="0" bottom="0" percent="0" rank="0" text="" dxfId="0">
      <formula>LEFT(W5,1)="⚠"</formula>
    </cfRule>
    <cfRule type="expression" priority="3" aboveAverage="0" equalAverage="0" bottom="0" percent="0" rank="0" text="" dxfId="1">
      <formula>LEFT(W5,1)="✓"</formula>
    </cfRule>
  </conditionalFormatting>
  <dataValidations count="6">
    <dataValidation allowBlank="true" errorStyle="stop" operator="between" showDropDown="false" showErrorMessage="false" showInputMessage="false" sqref="M5:U200" type="list">
      <formula1>"Y,N"</formula1>
      <formula2>0</formula2>
    </dataValidation>
    <dataValidation allowBlank="true" errorStyle="stop" operator="between" showDropDown="false" showErrorMessage="false" showInputMessage="false" sqref="B5:B200" type="list">
      <formula1>"TikTok,Instagram"</formula1>
      <formula2>0</formula2>
    </dataValidation>
    <dataValidation allowBlank="true" errorStyle="stop" operator="between" showDropDown="false" showErrorMessage="false" showInputMessage="false" sqref="J5:J200" type="list">
      <formula1>"Simple Clip + Simple Text,Screen recording,Voiceover,Talking-head,Split screen,Series (part N)"</formula1>
      <formula2>0</formula2>
    </dataValidation>
    <dataValidation allowBlank="true" errorStyle="stop" operator="between" showDropDown="false" showErrorMessage="false" showInputMessage="false" sqref="V5:V200" type="list">
      <formula1>"None,Date-setting / countdown,Speculation / conspiracy,Sensational unverified claim,Comedy / skit / prank,Needs pro studio or editing,Fake pet-cam / AI footage,Scare or harm test,Health claim"</formula1>
      <formula2>0</formula2>
    </dataValidation>
    <dataValidation allowBlank="true" errorStyle="stop" operator="between" showDropDown="false" showErrorMessage="false" showInputMessage="false" sqref="X5:X200" type="list">
      <formula1>"Use,Adapt,Maybe,Skip"</formula1>
      <formula2>0</formula2>
    </dataValidation>
    <dataValidation allowBlank="true" errorStyle="stop" operator="between" showDropDown="false" showErrorMessage="false" showInputMessage="false" sqref="Y5:Y200" type="list">
      <formula1>"Hero Story,Educational,Entertaining,Promotional"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7.9" hidden="false" customHeight="false" outlineLevel="0" collapsed="false">
      <c r="A1" s="11" t="s">
        <v>41</v>
      </c>
      <c r="B1" s="7"/>
    </row>
    <row r="2" customFormat="false" ht="15" hidden="false" customHeight="false" outlineLevel="0" collapsed="false">
      <c r="A2" s="12"/>
      <c r="B2" s="7"/>
    </row>
    <row r="3" customFormat="false" ht="15" hidden="false" customHeight="false" outlineLevel="0" collapsed="false">
      <c r="A3" s="12" t="s">
        <v>42</v>
      </c>
      <c r="B3" s="7"/>
    </row>
    <row r="4" customFormat="false" ht="15" hidden="false" customHeight="false" outlineLevel="0" collapsed="false">
      <c r="A4" s="7" t="s">
        <v>4</v>
      </c>
      <c r="B4" s="7" t="s">
        <v>43</v>
      </c>
    </row>
    <row r="5" customFormat="false" ht="15" hidden="false" customHeight="false" outlineLevel="0" collapsed="false">
      <c r="A5" s="7" t="s">
        <v>5</v>
      </c>
      <c r="B5" s="7" t="s">
        <v>44</v>
      </c>
    </row>
    <row r="6" customFormat="false" ht="15" hidden="false" customHeight="false" outlineLevel="0" collapsed="false">
      <c r="A6" s="7" t="s">
        <v>45</v>
      </c>
      <c r="B6" s="7" t="s">
        <v>46</v>
      </c>
    </row>
    <row r="7" customFormat="false" ht="15" hidden="false" customHeight="false" outlineLevel="0" collapsed="false">
      <c r="A7" s="7" t="s">
        <v>47</v>
      </c>
      <c r="B7" s="7" t="s">
        <v>48</v>
      </c>
    </row>
    <row r="8" customFormat="false" ht="15" hidden="false" customHeight="false" outlineLevel="0" collapsed="false">
      <c r="A8" s="7" t="s">
        <v>49</v>
      </c>
      <c r="B8" s="7" t="s">
        <v>50</v>
      </c>
    </row>
    <row r="9" customFormat="false" ht="15" hidden="false" customHeight="false" outlineLevel="0" collapsed="false">
      <c r="A9" s="12"/>
      <c r="B9" s="7"/>
    </row>
    <row r="10" customFormat="false" ht="28.35" hidden="false" customHeight="false" outlineLevel="0" collapsed="false">
      <c r="A10" s="12" t="s">
        <v>51</v>
      </c>
      <c r="B10" s="7"/>
    </row>
    <row r="11" customFormat="false" ht="15" hidden="false" customHeight="false" outlineLevel="0" collapsed="false">
      <c r="A11" s="7" t="s">
        <v>52</v>
      </c>
      <c r="B11" s="7" t="s">
        <v>53</v>
      </c>
    </row>
    <row r="12" customFormat="false" ht="15" hidden="false" customHeight="false" outlineLevel="0" collapsed="false">
      <c r="A12" s="7" t="s">
        <v>54</v>
      </c>
      <c r="B12" s="7" t="s">
        <v>55</v>
      </c>
    </row>
    <row r="13" customFormat="false" ht="15" hidden="false" customHeight="false" outlineLevel="0" collapsed="false">
      <c r="A13" s="7" t="s">
        <v>56</v>
      </c>
      <c r="B13" s="7" t="s">
        <v>57</v>
      </c>
    </row>
    <row r="14" customFormat="false" ht="15" hidden="false" customHeight="false" outlineLevel="0" collapsed="false">
      <c r="A14" s="7" t="s">
        <v>58</v>
      </c>
      <c r="B14" s="7" t="s">
        <v>59</v>
      </c>
    </row>
    <row r="15" customFormat="false" ht="15" hidden="false" customHeight="false" outlineLevel="0" collapsed="false">
      <c r="A15" s="7" t="s">
        <v>60</v>
      </c>
      <c r="B15" s="7" t="s">
        <v>61</v>
      </c>
    </row>
    <row r="16" customFormat="false" ht="15" hidden="false" customHeight="false" outlineLevel="0" collapsed="false">
      <c r="A16" s="7" t="s">
        <v>62</v>
      </c>
      <c r="B16" s="7" t="s">
        <v>63</v>
      </c>
    </row>
    <row r="17" customFormat="false" ht="15" hidden="false" customHeight="false" outlineLevel="0" collapsed="false">
      <c r="A17" s="12"/>
      <c r="B17" s="7"/>
    </row>
    <row r="18" customFormat="false" ht="15" hidden="false" customHeight="false" outlineLevel="0" collapsed="false">
      <c r="A18" s="12" t="s">
        <v>64</v>
      </c>
      <c r="B18" s="7"/>
    </row>
    <row r="19" customFormat="false" ht="28.35" hidden="false" customHeight="false" outlineLevel="0" collapsed="false">
      <c r="A19" s="7" t="s">
        <v>65</v>
      </c>
      <c r="B19" s="7" t="s">
        <v>66</v>
      </c>
    </row>
    <row r="20" customFormat="false" ht="28.35" hidden="false" customHeight="false" outlineLevel="0" collapsed="false">
      <c r="A20" s="7" t="s">
        <v>67</v>
      </c>
      <c r="B20" s="7" t="s">
        <v>68</v>
      </c>
    </row>
    <row r="21" customFormat="false" ht="15" hidden="false" customHeight="false" outlineLevel="0" collapsed="false">
      <c r="A21" s="12"/>
      <c r="B21" s="7"/>
    </row>
    <row r="22" customFormat="false" ht="15" hidden="false" customHeight="false" outlineLevel="0" collapsed="false">
      <c r="A22" s="12" t="s">
        <v>69</v>
      </c>
      <c r="B22" s="7"/>
    </row>
    <row r="23" customFormat="false" ht="15" hidden="false" customHeight="false" outlineLevel="0" collapsed="false">
      <c r="A23" s="7" t="s">
        <v>70</v>
      </c>
      <c r="B23" s="7" t="s">
        <v>71</v>
      </c>
    </row>
    <row r="24" customFormat="false" ht="15" hidden="false" customHeight="false" outlineLevel="0" collapsed="false">
      <c r="A24" s="7" t="s">
        <v>72</v>
      </c>
      <c r="B24" s="7" t="s">
        <v>73</v>
      </c>
    </row>
    <row r="25" customFormat="false" ht="15" hidden="false" customHeight="false" outlineLevel="0" collapsed="false">
      <c r="A25" s="7" t="s">
        <v>74</v>
      </c>
      <c r="B25" s="7" t="s">
        <v>75</v>
      </c>
    </row>
    <row r="26" customFormat="false" ht="15" hidden="false" customHeight="false" outlineLevel="0" collapsed="false">
      <c r="A26" s="7" t="s">
        <v>76</v>
      </c>
      <c r="B26" s="7" t="s">
        <v>77</v>
      </c>
    </row>
    <row r="27" customFormat="false" ht="15" hidden="false" customHeight="false" outlineLevel="0" collapsed="false">
      <c r="A27" s="7" t="s">
        <v>78</v>
      </c>
      <c r="B27" s="7" t="s">
        <v>79</v>
      </c>
    </row>
    <row r="28" customFormat="false" ht="15" hidden="false" customHeight="false" outlineLevel="0" collapsed="false">
      <c r="A28" s="12"/>
      <c r="B28" s="7"/>
    </row>
    <row r="29" customFormat="false" ht="15" hidden="false" customHeight="false" outlineLevel="0" collapsed="false">
      <c r="A29" s="12" t="s">
        <v>80</v>
      </c>
      <c r="B29" s="7"/>
    </row>
    <row r="30" customFormat="false" ht="15" hidden="false" customHeight="false" outlineLevel="0" collapsed="false">
      <c r="A30" s="7" t="s">
        <v>81</v>
      </c>
      <c r="B30" s="7" t="s">
        <v>82</v>
      </c>
    </row>
    <row r="31" customFormat="false" ht="15" hidden="false" customHeight="false" outlineLevel="0" collapsed="false">
      <c r="A31" s="7" t="s">
        <v>83</v>
      </c>
      <c r="B31" s="7" t="s">
        <v>84</v>
      </c>
    </row>
    <row r="32" customFormat="false" ht="15" hidden="false" customHeight="false" outlineLevel="0" collapsed="false">
      <c r="A32" s="7" t="s">
        <v>85</v>
      </c>
      <c r="B32" s="7" t="s">
        <v>86</v>
      </c>
    </row>
    <row r="33" customFormat="false" ht="15" hidden="false" customHeight="false" outlineLevel="0" collapsed="false">
      <c r="A33" s="7" t="s">
        <v>87</v>
      </c>
      <c r="B33" s="7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2026-10-10T06:44:15Z</dcterms:created>
  <dc:creator>openpyxl</dc:creator>
  <dc:description/>
  <dc:language>en-US</dc:language>
  <cp:lastModifiedBy/>
  <dcterms:modified xsi:type="dcterms:W3CDTF">2026-10-10T06:44:15Z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